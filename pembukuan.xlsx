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ATA\Pengajian\"/>
    </mc:Choice>
  </mc:AlternateContent>
  <xr:revisionPtr revIDLastSave="0" documentId="13_ncr:1_{A40B272D-62E2-4847-870E-0CE557ACC25F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2023" sheetId="1" r:id="rId1"/>
    <sheet name="2024" sheetId="2" r:id="rId2"/>
    <sheet name="2025" sheetId="3" r:id="rId3"/>
    <sheet name="2025 (2)" sheetId="4" r:id="rId4"/>
  </sheets>
  <calcPr calcId="181029"/>
</workbook>
</file>

<file path=xl/calcChain.xml><?xml version="1.0" encoding="utf-8"?>
<calcChain xmlns="http://schemas.openxmlformats.org/spreadsheetml/2006/main">
  <c r="E42" i="4" l="1"/>
  <c r="I36" i="4"/>
  <c r="I35" i="4"/>
  <c r="M31" i="4"/>
  <c r="M30" i="4"/>
  <c r="M29" i="4"/>
  <c r="M28" i="4"/>
  <c r="M27" i="4"/>
  <c r="I28" i="4"/>
  <c r="I27" i="4"/>
  <c r="I26" i="4"/>
  <c r="I25" i="4"/>
  <c r="I24" i="4"/>
  <c r="I23" i="4"/>
  <c r="I22" i="4"/>
  <c r="I21" i="4"/>
  <c r="I20" i="4"/>
  <c r="N7" i="4"/>
  <c r="N8" i="4"/>
  <c r="N9" i="4"/>
  <c r="N10" i="4"/>
  <c r="N11" i="4"/>
  <c r="N12" i="4"/>
  <c r="N13" i="4"/>
  <c r="N14" i="4"/>
  <c r="N15" i="4"/>
  <c r="N16" i="4"/>
  <c r="C21" i="4"/>
  <c r="N17" i="4" l="1"/>
  <c r="E3" i="4"/>
  <c r="E4" i="4" s="1"/>
  <c r="E5" i="4" s="1"/>
  <c r="E6" i="4" s="1"/>
  <c r="E7" i="4" s="1"/>
  <c r="E8" i="4" s="1"/>
  <c r="E9" i="4" s="1"/>
  <c r="E10" i="4" s="1"/>
  <c r="E11" i="4" s="1"/>
  <c r="E3" i="3"/>
  <c r="E4" i="3" s="1"/>
  <c r="E5" i="3" s="1"/>
  <c r="E6" i="3" s="1"/>
  <c r="D21" i="2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2" i="2" s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12" i="4" l="1"/>
  <c r="E13" i="4" s="1"/>
  <c r="E14" i="4" l="1"/>
  <c r="E15" i="4" l="1"/>
  <c r="E16" i="4" s="1"/>
  <c r="E17" i="4" s="1"/>
  <c r="E18" i="4" s="1"/>
  <c r="E19" i="4" s="1"/>
  <c r="E20" i="4" s="1"/>
  <c r="E21" i="4" s="1"/>
  <c r="E22" i="4" l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I30" i="4" l="1"/>
  <c r="E37" i="4"/>
  <c r="E38" i="4" s="1"/>
  <c r="E39" i="4" s="1"/>
  <c r="E40" i="4" s="1"/>
  <c r="N19" i="4"/>
  <c r="M33" i="4" l="1"/>
  <c r="E41" i="4"/>
</calcChain>
</file>

<file path=xl/sharedStrings.xml><?xml version="1.0" encoding="utf-8"?>
<sst xmlns="http://schemas.openxmlformats.org/spreadsheetml/2006/main" count="141" uniqueCount="47">
  <si>
    <t>Tanggal</t>
  </si>
  <si>
    <t>Uraian</t>
  </si>
  <si>
    <t>Masuk</t>
  </si>
  <si>
    <t>Keluar</t>
  </si>
  <si>
    <t>Total</t>
  </si>
  <si>
    <t>18 September 2023.</t>
  </si>
  <si>
    <t>Infaq Kajian</t>
  </si>
  <si>
    <t>Subsidi Konsumsi</t>
  </si>
  <si>
    <t>25 September 2023.</t>
  </si>
  <si>
    <t>Konsumsi</t>
  </si>
  <si>
    <t>9 Oktober 2023.</t>
  </si>
  <si>
    <t>11 Oktober 2023.</t>
  </si>
  <si>
    <t>16 Oktober 2023.</t>
  </si>
  <si>
    <t>6 November 2023.</t>
  </si>
  <si>
    <t>13 November 2023.</t>
  </si>
  <si>
    <t>4 Desember 2023.</t>
  </si>
  <si>
    <t>18 Desember 2023.</t>
  </si>
  <si>
    <t>Saldo Awal</t>
  </si>
  <si>
    <t>Nasi Goreng (14 porsi)</t>
  </si>
  <si>
    <t>Air Minum Festa</t>
  </si>
  <si>
    <t>Nasi Goreng (12 porsi)</t>
  </si>
  <si>
    <t>Sate (13 porsi)</t>
  </si>
  <si>
    <t>Tahu Tek (10 porsi)</t>
  </si>
  <si>
    <t>Maxim</t>
  </si>
  <si>
    <t>Bensin</t>
  </si>
  <si>
    <t>Semangka</t>
  </si>
  <si>
    <t>Tahu Tek (12 porsi)</t>
  </si>
  <si>
    <t>Es Teh (13 biji)</t>
  </si>
  <si>
    <t>Batagor (13 biji)</t>
  </si>
  <si>
    <t>Kelengkeng (1.6 kg)</t>
  </si>
  <si>
    <t>Buah-buahan</t>
  </si>
  <si>
    <t>Buah dan gorengan</t>
  </si>
  <si>
    <t>Infak Kajian</t>
  </si>
  <si>
    <t>Infaq</t>
  </si>
  <si>
    <t>Tambahan kas</t>
  </si>
  <si>
    <t>Saldo awal</t>
  </si>
  <si>
    <t>Tahu tek</t>
  </si>
  <si>
    <t>Le Minerale</t>
  </si>
  <si>
    <t>Buah</t>
  </si>
  <si>
    <t>Subsidi konsumsi</t>
  </si>
  <si>
    <t>Nasi goreng</t>
  </si>
  <si>
    <t>Nasi Padang</t>
  </si>
  <si>
    <t>Konsumsi pengajian</t>
  </si>
  <si>
    <t>Sate</t>
  </si>
  <si>
    <t>Aqua</t>
  </si>
  <si>
    <t>Mie Ayam</t>
  </si>
  <si>
    <t>Es 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</si>
</sst>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Rp&quot;* #,##0_-;\-&quot;Rp&quot;* #,##0_-;_-&quot;Rp&quot;* &quot;-&quot;_-;_-@_-"/>
    <numFmt numFmtId="165" formatCode="[$-421]dddd&quot;, &quot;dd\ mmmm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43" fontId="0" fillId="0" borderId="0" xfId="1" applyFont="1"/>
    <xf numFmtId="0" fontId="5" fillId="0" borderId="0" xfId="0" applyFont="1"/>
    <xf numFmtId="0" fontId="2" fillId="0" borderId="0" xfId="0" applyFont="1"/>
    <xf numFmtId="164" fontId="0" fillId="2" borderId="0" xfId="0" applyNumberFormat="1" applyFill="1"/>
    <xf numFmtId="0" fontId="1" fillId="0" borderId="0" xfId="0" applyFont="1"/>
    <xf numFmtId="164" fontId="1" fillId="3" borderId="1" xfId="0" applyNumberFormat="1" applyFont="1" applyFill="1" applyBorder="1"/>
    <xf numFmtId="164" fontId="1" fillId="0" borderId="1" xfId="0" applyNumberFormat="1" applyFont="1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4">
    <dxf>
      <numFmt numFmtId="164" formatCode="_-&quot;Rp&quot;* #,##0_-;\-&quot;Rp&quot;* #,##0_-;_-&quot;Rp&quot;* &quot;-&quot;_-;_-@_-"/>
    </dxf>
    <dxf>
      <numFmt numFmtId="164" formatCode="_-&quot;Rp&quot;* #,##0_-;\-&quot;Rp&quot;* #,##0_-;_-&quot;Rp&quot;* &quot;-&quot;_-;_-@_-"/>
    </dxf>
    <dxf>
      <numFmt numFmtId="164" formatCode="_-&quot;Rp&quot;* #,##0_-;\-&quot;Rp&quot;* #,##0_-;_-&quot;Rp&quot;* &quot;-&quot;_-;_-@_-"/>
    </dxf>
    <dxf>
      <numFmt numFmtId="165" formatCode="[$-421]dddd&quot;, &quot;dd\ m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1" totalsRowShown="0">
  <autoFilter ref="A1:E51" xr:uid="{00000000-0009-0000-0100-000001000000}"/>
  <tableColumns count="5">
    <tableColumn id="1" xr3:uid="{00000000-0010-0000-0000-000001000000}" name="Tanggal" dataDxfId="3"/>
    <tableColumn id="2" xr3:uid="{00000000-0010-0000-0000-000002000000}" name="Uraian"/>
    <tableColumn id="3" xr3:uid="{00000000-0010-0000-0000-000003000000}" name="Masuk" dataDxfId="2"/>
    <tableColumn id="4" xr3:uid="{00000000-0010-0000-0000-000004000000}" name="Keluar" dataDxfId="1"/>
    <tableColumn id="5" xr3:uid="{00000000-0010-0000-0000-000005000000}" name="Total" dataDxfId="0">
      <calculatedColumnFormula>E1+C2-D2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1:E6" totalsRowShown="0">
  <autoFilter ref="A1:E6" xr:uid="{00000000-0009-0000-0100-000002000000}"/>
  <tableColumns count="5">
    <tableColumn id="1" xr3:uid="{00000000-0010-0000-0100-000001000000}" name="Tanggal"/>
    <tableColumn id="2" xr3:uid="{00000000-0010-0000-0100-000002000000}" name="Uraian"/>
    <tableColumn id="3" xr3:uid="{00000000-0010-0000-0100-000003000000}" name="Masuk"/>
    <tableColumn id="4" xr3:uid="{00000000-0010-0000-0100-000004000000}" name="Keluar"/>
    <tableColumn id="5" xr3:uid="{00000000-0010-0000-0100-000005000000}" name="Total">
      <calculatedColumnFormula>E1+C2-D2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55DFE-0EC8-4811-BF5F-68CC494C65C1}" name="Table1_34" displayName="Table1_34" ref="A1:E42" totalsRowShown="0">
  <autoFilter ref="A1:E42" xr:uid="{00000000-0009-0000-0100-000002000000}"/>
  <tableColumns count="5">
    <tableColumn id="1" xr3:uid="{8BE68CBF-4C7B-493C-9D2A-190B153DA5AF}" name="Tanggal"/>
    <tableColumn id="2" xr3:uid="{799BA718-157D-4F5F-B22F-0E0734CF2734}" name="Uraian"/>
    <tableColumn id="3" xr3:uid="{545499E9-7BA3-4F79-8391-E4E12BC30044}" name="Masuk"/>
    <tableColumn id="4" xr3:uid="{C5B3A626-A8A4-4AC8-AD6E-49F6CBC1FBC2}" name="Keluar"/>
    <tableColumn id="5" xr3:uid="{04084D2B-61AC-4D3C-BAB7-C740AE09C8DA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F1" sqref="F1"/>
    </sheetView>
  </sheetViews>
  <sheetFormatPr defaultColWidth="9" defaultRowHeight="15"/>
  <cols>
    <col min="1" max="1" width="18.5703125" customWidth="1"/>
    <col min="2" max="2" width="16.5703125" customWidth="1"/>
    <col min="3" max="5" width="11.5703125" customWidth="1"/>
    <col min="7" max="7" width="11.57031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t="s">
        <v>5</v>
      </c>
      <c r="B2" t="s">
        <v>6</v>
      </c>
      <c r="C2" s="6">
        <v>80000</v>
      </c>
      <c r="D2" s="6"/>
      <c r="E2" s="6">
        <f>C2</f>
        <v>80000</v>
      </c>
    </row>
    <row r="3" spans="1:5">
      <c r="B3" t="s">
        <v>7</v>
      </c>
      <c r="C3" s="6">
        <v>300000</v>
      </c>
      <c r="D3" s="6"/>
      <c r="E3" s="6">
        <f t="shared" ref="E3:E17" si="0">E2+C3-D3</f>
        <v>380000</v>
      </c>
    </row>
    <row r="4" spans="1:5">
      <c r="A4" t="s">
        <v>8</v>
      </c>
      <c r="B4" t="s">
        <v>9</v>
      </c>
      <c r="C4" s="6"/>
      <c r="D4" s="6">
        <v>100000</v>
      </c>
      <c r="E4" s="6">
        <f t="shared" si="0"/>
        <v>280000</v>
      </c>
    </row>
    <row r="5" spans="1:5">
      <c r="B5" t="s">
        <v>6</v>
      </c>
      <c r="C5" s="6">
        <v>45000</v>
      </c>
      <c r="D5" s="6"/>
      <c r="E5" s="6">
        <f t="shared" si="0"/>
        <v>325000</v>
      </c>
    </row>
    <row r="6" spans="1:5">
      <c r="A6" t="s">
        <v>10</v>
      </c>
      <c r="B6" t="s">
        <v>9</v>
      </c>
      <c r="C6" s="6"/>
      <c r="D6" s="6">
        <v>56000</v>
      </c>
      <c r="E6" s="6">
        <f t="shared" si="0"/>
        <v>269000</v>
      </c>
    </row>
    <row r="7" spans="1:5">
      <c r="B7" t="s">
        <v>6</v>
      </c>
      <c r="C7" s="6">
        <v>55000</v>
      </c>
      <c r="D7" s="6"/>
      <c r="E7" s="6">
        <f t="shared" si="0"/>
        <v>324000</v>
      </c>
    </row>
    <row r="8" spans="1:5">
      <c r="A8" t="s">
        <v>11</v>
      </c>
      <c r="B8" t="s">
        <v>7</v>
      </c>
      <c r="C8" s="6">
        <v>150000</v>
      </c>
      <c r="D8" s="6"/>
      <c r="E8" s="6">
        <f t="shared" si="0"/>
        <v>474000</v>
      </c>
    </row>
    <row r="9" spans="1:5">
      <c r="A9" t="s">
        <v>12</v>
      </c>
      <c r="B9" t="s">
        <v>9</v>
      </c>
      <c r="C9" s="6"/>
      <c r="D9" s="6">
        <v>73000</v>
      </c>
      <c r="E9" s="6">
        <f t="shared" si="0"/>
        <v>401000</v>
      </c>
    </row>
    <row r="10" spans="1:5">
      <c r="B10" t="s">
        <v>6</v>
      </c>
      <c r="C10" s="6">
        <v>62000</v>
      </c>
      <c r="D10" s="6"/>
      <c r="E10" s="6">
        <f t="shared" si="0"/>
        <v>463000</v>
      </c>
    </row>
    <row r="11" spans="1:5">
      <c r="A11" t="s">
        <v>13</v>
      </c>
      <c r="B11" t="s">
        <v>9</v>
      </c>
      <c r="C11" s="6"/>
      <c r="D11" s="6">
        <v>73000</v>
      </c>
      <c r="E11" s="6">
        <f t="shared" si="0"/>
        <v>390000</v>
      </c>
    </row>
    <row r="12" spans="1:5">
      <c r="B12" t="s">
        <v>6</v>
      </c>
      <c r="C12" s="6">
        <v>57000</v>
      </c>
      <c r="D12" s="6"/>
      <c r="E12" s="6">
        <f t="shared" si="0"/>
        <v>447000</v>
      </c>
    </row>
    <row r="13" spans="1:5">
      <c r="A13" t="s">
        <v>14</v>
      </c>
      <c r="B13" t="s">
        <v>9</v>
      </c>
      <c r="C13" s="6"/>
      <c r="D13" s="6">
        <v>105000</v>
      </c>
      <c r="E13" s="6">
        <f t="shared" si="0"/>
        <v>342000</v>
      </c>
    </row>
    <row r="14" spans="1:5">
      <c r="B14" t="s">
        <v>7</v>
      </c>
      <c r="C14" s="6">
        <v>150000</v>
      </c>
      <c r="D14" s="6"/>
      <c r="E14" s="6">
        <f t="shared" si="0"/>
        <v>492000</v>
      </c>
    </row>
    <row r="15" spans="1:5">
      <c r="B15" t="s">
        <v>6</v>
      </c>
      <c r="C15" s="6">
        <v>64000</v>
      </c>
      <c r="D15" s="6"/>
      <c r="E15" s="6">
        <f t="shared" si="0"/>
        <v>556000</v>
      </c>
    </row>
    <row r="16" spans="1:5">
      <c r="A16" t="s">
        <v>15</v>
      </c>
      <c r="B16" t="s">
        <v>9</v>
      </c>
      <c r="C16" s="6"/>
      <c r="D16" s="6">
        <v>50000</v>
      </c>
      <c r="E16" s="6">
        <f t="shared" si="0"/>
        <v>506000</v>
      </c>
    </row>
    <row r="17" spans="1:5">
      <c r="A17" t="s">
        <v>16</v>
      </c>
      <c r="B17" t="s">
        <v>9</v>
      </c>
      <c r="C17" s="6"/>
      <c r="D17" s="6">
        <v>86000</v>
      </c>
      <c r="E17" s="6">
        <f t="shared" si="0"/>
        <v>420000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opLeftCell="A29" workbookViewId="0">
      <selection activeCell="E52" sqref="E52"/>
    </sheetView>
  </sheetViews>
  <sheetFormatPr defaultColWidth="9" defaultRowHeight="15"/>
  <cols>
    <col min="1" max="1" width="23.5703125" bestFit="1" customWidth="1"/>
    <col min="2" max="2" width="19.140625" customWidth="1"/>
    <col min="3" max="5" width="10.7109375" customWidth="1"/>
    <col min="6" max="6" width="11.5703125" customWidth="1"/>
    <col min="7" max="7" width="10.28515625" customWidth="1"/>
    <col min="8" max="8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"/>
      <c r="B2" t="s">
        <v>17</v>
      </c>
      <c r="C2" s="2"/>
      <c r="D2" s="2"/>
      <c r="E2" s="2">
        <f>'2023'!E17</f>
        <v>420000</v>
      </c>
    </row>
    <row r="3" spans="1:6">
      <c r="A3" s="1">
        <v>45306</v>
      </c>
      <c r="B3" t="s">
        <v>9</v>
      </c>
      <c r="C3" s="2"/>
      <c r="D3" s="2">
        <v>170000</v>
      </c>
      <c r="E3" s="2">
        <f t="shared" ref="E3:E45" si="0">E2+C3-D3</f>
        <v>250000</v>
      </c>
    </row>
    <row r="4" spans="1:6">
      <c r="A4" s="1"/>
      <c r="B4" t="s">
        <v>6</v>
      </c>
      <c r="C4" s="2">
        <v>46000</v>
      </c>
      <c r="D4" s="2"/>
      <c r="E4" s="2">
        <f t="shared" si="0"/>
        <v>296000</v>
      </c>
    </row>
    <row r="5" spans="1:6">
      <c r="A5" s="1"/>
      <c r="B5" t="s">
        <v>7</v>
      </c>
      <c r="C5" s="2">
        <v>300000</v>
      </c>
      <c r="D5" s="3"/>
      <c r="E5" s="3">
        <f t="shared" si="0"/>
        <v>596000</v>
      </c>
    </row>
    <row r="6" spans="1:6">
      <c r="A6" s="1">
        <v>45313</v>
      </c>
      <c r="B6" t="s">
        <v>6</v>
      </c>
      <c r="C6" s="2">
        <v>45000</v>
      </c>
      <c r="D6" s="3"/>
      <c r="E6" s="3">
        <f t="shared" si="0"/>
        <v>641000</v>
      </c>
    </row>
    <row r="7" spans="1:6">
      <c r="A7" s="1"/>
      <c r="B7" t="s">
        <v>9</v>
      </c>
      <c r="C7" s="3"/>
      <c r="D7" s="3">
        <v>103000</v>
      </c>
      <c r="E7" s="3">
        <f t="shared" si="0"/>
        <v>538000</v>
      </c>
    </row>
    <row r="8" spans="1:6">
      <c r="A8" s="1">
        <v>45341</v>
      </c>
      <c r="B8" t="s">
        <v>9</v>
      </c>
      <c r="C8" s="3"/>
      <c r="D8" s="3">
        <v>163500</v>
      </c>
      <c r="E8" s="3">
        <f t="shared" si="0"/>
        <v>374500</v>
      </c>
    </row>
    <row r="9" spans="1:6">
      <c r="A9" s="1"/>
      <c r="B9" t="s">
        <v>6</v>
      </c>
      <c r="C9" s="2">
        <v>30000</v>
      </c>
      <c r="D9" s="3"/>
      <c r="E9" s="3">
        <f t="shared" si="0"/>
        <v>404500</v>
      </c>
    </row>
    <row r="10" spans="1:6">
      <c r="A10" s="1">
        <v>45354</v>
      </c>
      <c r="B10" t="s">
        <v>9</v>
      </c>
      <c r="C10" s="3"/>
      <c r="D10" s="3">
        <v>151000</v>
      </c>
      <c r="E10" s="3">
        <f t="shared" si="0"/>
        <v>253500</v>
      </c>
    </row>
    <row r="11" spans="1:6">
      <c r="A11" s="1"/>
      <c r="B11" t="s">
        <v>7</v>
      </c>
      <c r="C11" s="2">
        <v>300000</v>
      </c>
      <c r="D11" s="3"/>
      <c r="E11" s="3">
        <f t="shared" si="0"/>
        <v>553500</v>
      </c>
      <c r="F11" s="4"/>
    </row>
    <row r="12" spans="1:6">
      <c r="A12" s="1">
        <v>45399</v>
      </c>
      <c r="B12" t="s">
        <v>9</v>
      </c>
      <c r="C12" s="3"/>
      <c r="D12" s="3">
        <v>200000</v>
      </c>
      <c r="E12" s="3">
        <f t="shared" si="0"/>
        <v>353500</v>
      </c>
    </row>
    <row r="13" spans="1:6">
      <c r="A13" s="1"/>
      <c r="B13" t="s">
        <v>6</v>
      </c>
      <c r="C13" s="2">
        <v>63000</v>
      </c>
      <c r="D13" s="3"/>
      <c r="E13" s="3">
        <f t="shared" si="0"/>
        <v>416500</v>
      </c>
    </row>
    <row r="14" spans="1:6">
      <c r="A14" s="1"/>
      <c r="B14" t="s">
        <v>7</v>
      </c>
      <c r="C14" s="2">
        <v>300000</v>
      </c>
      <c r="D14" s="3"/>
      <c r="E14" s="3">
        <f t="shared" si="0"/>
        <v>716500</v>
      </c>
    </row>
    <row r="15" spans="1:6">
      <c r="A15" s="1">
        <v>45492</v>
      </c>
      <c r="B15" t="s">
        <v>18</v>
      </c>
      <c r="C15" s="3"/>
      <c r="D15" s="3">
        <v>195000</v>
      </c>
      <c r="E15" s="3">
        <f t="shared" si="0"/>
        <v>521500</v>
      </c>
    </row>
    <row r="16" spans="1:6">
      <c r="A16" s="1"/>
      <c r="B16" t="s">
        <v>19</v>
      </c>
      <c r="C16" s="3"/>
      <c r="D16" s="3">
        <v>23000</v>
      </c>
      <c r="E16" s="3">
        <f t="shared" si="0"/>
        <v>498500</v>
      </c>
    </row>
    <row r="17" spans="1:8">
      <c r="A17" s="1"/>
      <c r="B17" t="s">
        <v>6</v>
      </c>
      <c r="C17" s="3">
        <v>54000</v>
      </c>
      <c r="D17" s="3"/>
      <c r="E17" s="3">
        <f t="shared" si="0"/>
        <v>552500</v>
      </c>
    </row>
    <row r="18" spans="1:8">
      <c r="A18" s="1">
        <v>45493</v>
      </c>
      <c r="B18" t="s">
        <v>7</v>
      </c>
      <c r="C18" s="3">
        <v>150000</v>
      </c>
      <c r="D18" s="3"/>
      <c r="E18" s="3">
        <f t="shared" si="0"/>
        <v>702500</v>
      </c>
    </row>
    <row r="19" spans="1:8">
      <c r="A19" s="1">
        <v>45499</v>
      </c>
      <c r="B19" t="s">
        <v>20</v>
      </c>
      <c r="C19" s="3"/>
      <c r="D19" s="3">
        <v>168000</v>
      </c>
      <c r="E19" s="3">
        <f t="shared" si="0"/>
        <v>534500</v>
      </c>
    </row>
    <row r="20" spans="1:8">
      <c r="A20" s="1"/>
      <c r="B20" t="s">
        <v>19</v>
      </c>
      <c r="C20" s="3"/>
      <c r="D20" s="3">
        <v>23500</v>
      </c>
      <c r="E20" s="3">
        <f t="shared" si="0"/>
        <v>511000</v>
      </c>
      <c r="G20" s="3"/>
      <c r="H20" s="3"/>
    </row>
    <row r="21" spans="1:8">
      <c r="A21" s="1">
        <v>45506</v>
      </c>
      <c r="B21" t="s">
        <v>21</v>
      </c>
      <c r="C21" s="3"/>
      <c r="D21" s="3">
        <f>15000*13</f>
        <v>195000</v>
      </c>
      <c r="E21" s="3">
        <f t="shared" si="0"/>
        <v>316000</v>
      </c>
      <c r="H21" s="3"/>
    </row>
    <row r="22" spans="1:8">
      <c r="A22" s="1"/>
      <c r="B22" t="s">
        <v>6</v>
      </c>
      <c r="C22" s="3">
        <v>40000</v>
      </c>
      <c r="D22" s="3"/>
      <c r="E22" s="3">
        <f t="shared" si="0"/>
        <v>356000</v>
      </c>
      <c r="H22" s="3"/>
    </row>
    <row r="23" spans="1:8">
      <c r="A23" s="1"/>
      <c r="B23" t="s">
        <v>19</v>
      </c>
      <c r="C23" s="3"/>
      <c r="D23" s="3">
        <v>23500</v>
      </c>
      <c r="E23" s="3">
        <f t="shared" si="0"/>
        <v>332500</v>
      </c>
      <c r="H23" s="3"/>
    </row>
    <row r="24" spans="1:8">
      <c r="A24" s="1">
        <v>45520</v>
      </c>
      <c r="B24" t="s">
        <v>22</v>
      </c>
      <c r="C24" s="3"/>
      <c r="D24" s="3">
        <v>130000</v>
      </c>
      <c r="E24" s="3">
        <f t="shared" si="0"/>
        <v>202500</v>
      </c>
    </row>
    <row r="25" spans="1:8">
      <c r="A25" s="1"/>
      <c r="B25" t="s">
        <v>6</v>
      </c>
      <c r="C25" s="3">
        <v>60000</v>
      </c>
      <c r="D25" s="3"/>
      <c r="E25" s="3">
        <f t="shared" si="0"/>
        <v>262500</v>
      </c>
    </row>
    <row r="26" spans="1:8">
      <c r="A26" s="1">
        <v>45522</v>
      </c>
      <c r="B26" t="s">
        <v>7</v>
      </c>
      <c r="C26" s="3">
        <v>150000</v>
      </c>
      <c r="D26" s="3"/>
      <c r="E26" s="3">
        <f t="shared" si="0"/>
        <v>412500</v>
      </c>
    </row>
    <row r="27" spans="1:8">
      <c r="A27" s="1">
        <v>45527</v>
      </c>
      <c r="B27" t="s">
        <v>6</v>
      </c>
      <c r="C27" s="3">
        <v>51000</v>
      </c>
      <c r="D27" s="3"/>
      <c r="E27" s="3">
        <f t="shared" si="0"/>
        <v>463500</v>
      </c>
    </row>
    <row r="28" spans="1:8">
      <c r="A28" s="1">
        <v>45546</v>
      </c>
      <c r="B28" t="s">
        <v>20</v>
      </c>
      <c r="C28" s="3"/>
      <c r="D28" s="3">
        <v>180000</v>
      </c>
      <c r="E28" s="3">
        <f t="shared" si="0"/>
        <v>283500</v>
      </c>
    </row>
    <row r="29" spans="1:8">
      <c r="A29" s="1"/>
      <c r="B29" t="s">
        <v>23</v>
      </c>
      <c r="C29" s="3"/>
      <c r="D29" s="3">
        <v>12000</v>
      </c>
      <c r="E29" s="3">
        <f t="shared" si="0"/>
        <v>271500</v>
      </c>
    </row>
    <row r="30" spans="1:8">
      <c r="A30" s="1"/>
      <c r="B30" t="s">
        <v>6</v>
      </c>
      <c r="C30" s="3">
        <v>56000</v>
      </c>
      <c r="D30" s="3"/>
      <c r="E30" s="3">
        <f t="shared" si="0"/>
        <v>327500</v>
      </c>
    </row>
    <row r="31" spans="1:8">
      <c r="A31" s="1"/>
      <c r="B31" t="s">
        <v>7</v>
      </c>
      <c r="C31" s="3">
        <v>150000</v>
      </c>
      <c r="D31" s="3"/>
      <c r="E31" s="3">
        <f t="shared" si="0"/>
        <v>477500</v>
      </c>
    </row>
    <row r="32" spans="1:8">
      <c r="A32" s="1">
        <v>45553</v>
      </c>
      <c r="B32" t="s">
        <v>9</v>
      </c>
      <c r="C32" s="3"/>
      <c r="D32" s="3">
        <v>150000</v>
      </c>
      <c r="E32" s="3">
        <f t="shared" si="0"/>
        <v>327500</v>
      </c>
    </row>
    <row r="33" spans="1:5">
      <c r="A33" s="1"/>
      <c r="B33" t="s">
        <v>6</v>
      </c>
      <c r="C33" s="3">
        <v>60000</v>
      </c>
      <c r="D33" s="3"/>
      <c r="E33" s="3">
        <f t="shared" si="0"/>
        <v>387500</v>
      </c>
    </row>
    <row r="34" spans="1:5">
      <c r="A34" s="1">
        <v>45574</v>
      </c>
      <c r="B34" t="s">
        <v>9</v>
      </c>
      <c r="C34" s="3"/>
      <c r="D34" s="3">
        <v>150000</v>
      </c>
      <c r="E34" s="3">
        <f t="shared" si="0"/>
        <v>237500</v>
      </c>
    </row>
    <row r="35" spans="1:5">
      <c r="A35" s="1"/>
      <c r="B35" t="s">
        <v>24</v>
      </c>
      <c r="C35" s="3"/>
      <c r="D35" s="3">
        <v>10000</v>
      </c>
      <c r="E35" s="3">
        <f t="shared" si="0"/>
        <v>227500</v>
      </c>
    </row>
    <row r="36" spans="1:5">
      <c r="A36" s="1"/>
      <c r="B36" t="s">
        <v>25</v>
      </c>
      <c r="C36" s="3"/>
      <c r="D36" s="3">
        <v>49000</v>
      </c>
      <c r="E36" s="3">
        <f t="shared" si="0"/>
        <v>178500</v>
      </c>
    </row>
    <row r="37" spans="1:5">
      <c r="A37" s="1"/>
      <c r="B37" t="s">
        <v>6</v>
      </c>
      <c r="C37" s="3">
        <v>50000</v>
      </c>
      <c r="D37" s="3"/>
      <c r="E37" s="3">
        <f t="shared" si="0"/>
        <v>228500</v>
      </c>
    </row>
    <row r="38" spans="1:5">
      <c r="A38" s="1">
        <v>45581</v>
      </c>
      <c r="B38" t="s">
        <v>6</v>
      </c>
      <c r="C38" s="3">
        <v>55000</v>
      </c>
      <c r="D38" s="3"/>
      <c r="E38" s="3">
        <f t="shared" si="0"/>
        <v>283500</v>
      </c>
    </row>
    <row r="39" spans="1:5">
      <c r="A39" s="1"/>
      <c r="B39" t="s">
        <v>7</v>
      </c>
      <c r="C39" s="3">
        <v>150000</v>
      </c>
      <c r="D39" s="3"/>
      <c r="E39" s="3">
        <f t="shared" si="0"/>
        <v>433500</v>
      </c>
    </row>
    <row r="40" spans="1:5">
      <c r="A40" s="1"/>
      <c r="B40" t="s">
        <v>26</v>
      </c>
      <c r="C40" s="3"/>
      <c r="D40" s="3">
        <v>168000</v>
      </c>
      <c r="E40" s="3">
        <f t="shared" si="0"/>
        <v>265500</v>
      </c>
    </row>
    <row r="41" spans="1:5">
      <c r="A41" s="1">
        <v>45609</v>
      </c>
      <c r="B41" t="s">
        <v>6</v>
      </c>
      <c r="C41" s="3">
        <v>56000</v>
      </c>
      <c r="D41" s="3"/>
      <c r="E41" s="3">
        <f t="shared" si="0"/>
        <v>321500</v>
      </c>
    </row>
    <row r="42" spans="1:5">
      <c r="A42" s="1"/>
      <c r="B42" t="s">
        <v>7</v>
      </c>
      <c r="C42" s="3">
        <v>150000</v>
      </c>
      <c r="D42" s="3"/>
      <c r="E42" s="3">
        <f t="shared" si="0"/>
        <v>471500</v>
      </c>
    </row>
    <row r="43" spans="1:5">
      <c r="A43" s="1">
        <v>45616</v>
      </c>
      <c r="B43" t="s">
        <v>6</v>
      </c>
      <c r="C43" s="3">
        <v>80000</v>
      </c>
      <c r="D43" s="3"/>
      <c r="E43" s="3">
        <f t="shared" si="0"/>
        <v>551500</v>
      </c>
    </row>
    <row r="44" spans="1:5">
      <c r="A44" s="1"/>
      <c r="B44" t="s">
        <v>27</v>
      </c>
      <c r="C44" s="3"/>
      <c r="D44" s="3">
        <v>65000</v>
      </c>
      <c r="E44" s="3">
        <f t="shared" si="0"/>
        <v>486500</v>
      </c>
    </row>
    <row r="45" spans="1:5">
      <c r="A45" s="1"/>
      <c r="B45" t="s">
        <v>28</v>
      </c>
      <c r="C45" s="3"/>
      <c r="D45" s="3">
        <v>130000</v>
      </c>
      <c r="E45" s="3">
        <f t="shared" si="0"/>
        <v>356500</v>
      </c>
    </row>
    <row r="46" spans="1:5">
      <c r="A46" s="1">
        <v>45637</v>
      </c>
      <c r="B46" t="s">
        <v>29</v>
      </c>
      <c r="C46" s="3"/>
      <c r="D46" s="3">
        <v>50500</v>
      </c>
      <c r="E46" s="3">
        <f t="shared" ref="E46:E51" si="1">E45+C46-D46</f>
        <v>306000</v>
      </c>
    </row>
    <row r="47" spans="1:5">
      <c r="A47" s="1"/>
      <c r="B47" t="s">
        <v>25</v>
      </c>
      <c r="C47" s="3"/>
      <c r="D47" s="3">
        <v>20000</v>
      </c>
      <c r="E47" s="3">
        <f t="shared" si="1"/>
        <v>286000</v>
      </c>
    </row>
    <row r="48" spans="1:5">
      <c r="A48" s="1"/>
      <c r="B48" t="s">
        <v>7</v>
      </c>
      <c r="C48" s="3">
        <v>150000</v>
      </c>
      <c r="D48" s="3"/>
      <c r="E48" s="3">
        <f t="shared" si="1"/>
        <v>436000</v>
      </c>
    </row>
    <row r="49" spans="1:5">
      <c r="A49" s="1"/>
      <c r="B49" t="s">
        <v>6</v>
      </c>
      <c r="C49" s="3">
        <v>40000</v>
      </c>
      <c r="D49" s="3"/>
      <c r="E49" s="3">
        <f t="shared" si="1"/>
        <v>476000</v>
      </c>
    </row>
    <row r="50" spans="1:5">
      <c r="A50" s="1">
        <v>45644</v>
      </c>
      <c r="B50" t="s">
        <v>30</v>
      </c>
      <c r="C50" s="3"/>
      <c r="D50" s="3">
        <v>54000</v>
      </c>
      <c r="E50" s="3">
        <f t="shared" si="1"/>
        <v>422000</v>
      </c>
    </row>
    <row r="51" spans="1:5">
      <c r="A51" s="1"/>
      <c r="B51" t="s">
        <v>6</v>
      </c>
      <c r="C51" s="3">
        <v>49000</v>
      </c>
      <c r="D51" s="3"/>
      <c r="E51" s="3">
        <f t="shared" si="1"/>
        <v>471000</v>
      </c>
    </row>
  </sheetData>
  <pageMargins left="0.7" right="0.7" top="0.75" bottom="0.75" header="0.3" footer="0.3"/>
  <pageSetup orientation="portrait" horizontalDpi="360" verticalDpi="36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C13" sqref="C13"/>
    </sheetView>
  </sheetViews>
  <sheetFormatPr defaultColWidth="9" defaultRowHeight="15"/>
  <cols>
    <col min="1" max="1" width="19.85546875" bestFit="1" customWidth="1"/>
    <col min="2" max="2" width="18.140625" bestFit="1" customWidth="1"/>
    <col min="3" max="5" width="11.28515625" bestFit="1" customWidth="1"/>
    <col min="6" max="6" width="11.5703125" customWidth="1"/>
    <col min="7" max="7" width="10.28515625" customWidth="1"/>
    <col min="8" max="8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"/>
      <c r="B2" t="s">
        <v>17</v>
      </c>
      <c r="C2" s="2"/>
      <c r="D2" s="2"/>
      <c r="E2" s="2">
        <v>471000</v>
      </c>
    </row>
    <row r="3" spans="1:6">
      <c r="A3" s="1">
        <v>45672</v>
      </c>
      <c r="B3" t="s">
        <v>31</v>
      </c>
      <c r="C3" s="2"/>
      <c r="D3" s="2">
        <v>100000</v>
      </c>
      <c r="E3" s="2">
        <f>E2+C3-D3</f>
        <v>371000</v>
      </c>
    </row>
    <row r="4" spans="1:6">
      <c r="A4" s="1"/>
      <c r="B4" t="s">
        <v>32</v>
      </c>
      <c r="C4" s="2">
        <v>45000</v>
      </c>
      <c r="D4" s="2"/>
      <c r="E4" s="2">
        <f>E3+C4-D4</f>
        <v>416000</v>
      </c>
    </row>
    <row r="5" spans="1:6">
      <c r="A5" s="1"/>
      <c r="B5" t="s">
        <v>7</v>
      </c>
      <c r="C5" s="2">
        <v>150000</v>
      </c>
      <c r="D5" s="3"/>
      <c r="E5" s="2">
        <f>E4+C5-D5</f>
        <v>566000</v>
      </c>
    </row>
    <row r="6" spans="1:6">
      <c r="A6" s="1">
        <v>45679</v>
      </c>
      <c r="B6" t="s">
        <v>9</v>
      </c>
      <c r="C6" s="2"/>
      <c r="D6" s="3">
        <v>100000</v>
      </c>
      <c r="E6" s="2">
        <f>E5+C6-D6</f>
        <v>466000</v>
      </c>
    </row>
    <row r="7" spans="1:6">
      <c r="A7" s="1"/>
      <c r="C7" s="3"/>
      <c r="D7" s="3"/>
      <c r="E7" s="3"/>
    </row>
    <row r="8" spans="1:6">
      <c r="A8" s="1"/>
      <c r="C8" s="3"/>
      <c r="D8" s="3"/>
      <c r="E8" s="3"/>
    </row>
    <row r="9" spans="1:6">
      <c r="A9" s="1"/>
      <c r="C9" s="2"/>
      <c r="D9" s="3"/>
      <c r="E9" s="3"/>
    </row>
    <row r="10" spans="1:6">
      <c r="A10" s="1"/>
      <c r="C10" s="3"/>
      <c r="D10" s="3"/>
      <c r="E10" s="3"/>
    </row>
    <row r="11" spans="1:6">
      <c r="A11" s="1"/>
      <c r="C11" s="2"/>
      <c r="D11" s="3"/>
      <c r="E11" s="3"/>
      <c r="F11" s="4"/>
    </row>
    <row r="12" spans="1:6">
      <c r="A12" s="1"/>
      <c r="C12" s="3"/>
      <c r="D12" s="3"/>
      <c r="E12" s="3"/>
    </row>
    <row r="13" spans="1:6">
      <c r="A13" s="1"/>
      <c r="C13" s="2"/>
      <c r="D13" s="3"/>
      <c r="E13" s="3"/>
    </row>
    <row r="14" spans="1:6">
      <c r="A14" s="1"/>
      <c r="C14" s="2"/>
      <c r="D14" s="3"/>
      <c r="E14" s="3"/>
    </row>
    <row r="15" spans="1:6">
      <c r="A15" s="1"/>
      <c r="C15" s="3"/>
      <c r="D15" s="3"/>
      <c r="E15" s="3"/>
    </row>
    <row r="16" spans="1:6">
      <c r="A16" s="1"/>
      <c r="C16" s="3"/>
      <c r="D16" s="3"/>
      <c r="E16" s="3"/>
    </row>
    <row r="17" spans="1:8">
      <c r="A17" s="1"/>
      <c r="C17" s="3"/>
      <c r="D17" s="3"/>
      <c r="E17" s="3"/>
    </row>
    <row r="18" spans="1:8">
      <c r="A18" s="1"/>
      <c r="C18" s="3"/>
      <c r="D18" s="3"/>
      <c r="E18" s="3"/>
    </row>
    <row r="19" spans="1:8">
      <c r="A19" s="1"/>
      <c r="C19" s="3"/>
      <c r="D19" s="3"/>
      <c r="E19" s="3"/>
    </row>
    <row r="20" spans="1:8">
      <c r="A20" s="1"/>
      <c r="C20" s="3"/>
      <c r="D20" s="3"/>
      <c r="E20" s="3"/>
      <c r="G20" s="3"/>
      <c r="H20" s="3"/>
    </row>
    <row r="21" spans="1:8">
      <c r="A21" s="1"/>
      <c r="C21" s="3"/>
      <c r="D21" s="3"/>
      <c r="E21" s="3"/>
      <c r="H21" s="3"/>
    </row>
    <row r="22" spans="1:8">
      <c r="A22" s="1"/>
      <c r="C22" s="3"/>
      <c r="D22" s="3"/>
      <c r="E22" s="3"/>
      <c r="H22" s="3"/>
    </row>
    <row r="23" spans="1:8">
      <c r="A23" s="1"/>
      <c r="C23" s="3"/>
      <c r="D23" s="3"/>
      <c r="E23" s="3"/>
      <c r="H23" s="3"/>
    </row>
    <row r="24" spans="1:8">
      <c r="A24" s="1"/>
      <c r="C24" s="3"/>
      <c r="D24" s="3"/>
      <c r="E24" s="3"/>
    </row>
    <row r="25" spans="1:8">
      <c r="A25" s="1"/>
      <c r="C25" s="3"/>
      <c r="D25" s="3"/>
      <c r="E25" s="3"/>
    </row>
    <row r="26" spans="1:8">
      <c r="A26" s="1"/>
      <c r="C26" s="3"/>
      <c r="D26" s="3"/>
      <c r="E26" s="3"/>
    </row>
    <row r="27" spans="1:8">
      <c r="A27" s="1"/>
      <c r="C27" s="3"/>
      <c r="D27" s="3"/>
      <c r="E27" s="3"/>
    </row>
    <row r="28" spans="1:8">
      <c r="A28" s="1"/>
      <c r="C28" s="3"/>
      <c r="D28" s="3"/>
      <c r="E28" s="3"/>
    </row>
    <row r="29" spans="1:8">
      <c r="A29" s="1"/>
      <c r="C29" s="3"/>
      <c r="D29" s="3"/>
      <c r="E29" s="3"/>
    </row>
    <row r="30" spans="1:8">
      <c r="A30" s="1"/>
      <c r="C30" s="3"/>
      <c r="D30" s="3"/>
      <c r="E30" s="3"/>
    </row>
    <row r="31" spans="1:8">
      <c r="A31" s="1"/>
      <c r="C31" s="3"/>
      <c r="D31" s="3"/>
      <c r="E31" s="3"/>
    </row>
    <row r="32" spans="1:8">
      <c r="A32" s="1"/>
      <c r="C32" s="3"/>
      <c r="D32" s="3"/>
      <c r="E32" s="3"/>
    </row>
    <row r="33" spans="1:5">
      <c r="A33" s="1"/>
      <c r="C33" s="3"/>
      <c r="D33" s="3"/>
      <c r="E33" s="3"/>
    </row>
    <row r="34" spans="1:5">
      <c r="A34" s="1"/>
      <c r="C34" s="3"/>
      <c r="D34" s="3"/>
      <c r="E34" s="3"/>
    </row>
    <row r="35" spans="1:5">
      <c r="A35" s="1"/>
      <c r="C35" s="3"/>
      <c r="D35" s="3"/>
      <c r="E35" s="3"/>
    </row>
    <row r="36" spans="1:5">
      <c r="A36" s="1"/>
      <c r="C36" s="3"/>
      <c r="D36" s="3"/>
      <c r="E36" s="3"/>
    </row>
    <row r="37" spans="1:5">
      <c r="A37" s="1"/>
      <c r="C37" s="3"/>
      <c r="D37" s="3"/>
      <c r="E37" s="3"/>
    </row>
    <row r="38" spans="1:5">
      <c r="A38" s="1"/>
      <c r="C38" s="3"/>
      <c r="D38" s="3"/>
      <c r="E38" s="3"/>
    </row>
    <row r="39" spans="1:5">
      <c r="A39" s="1"/>
      <c r="C39" s="3"/>
      <c r="D39" s="3"/>
      <c r="E39" s="3"/>
    </row>
    <row r="40" spans="1:5">
      <c r="A40" s="1"/>
      <c r="C40" s="3"/>
      <c r="D40" s="3"/>
      <c r="E40" s="3"/>
    </row>
    <row r="41" spans="1:5">
      <c r="A41" s="1"/>
      <c r="C41" s="3"/>
      <c r="D41" s="3"/>
      <c r="E41" s="3"/>
    </row>
    <row r="42" spans="1:5">
      <c r="A42" s="1"/>
      <c r="C42" s="3"/>
      <c r="D42" s="3"/>
      <c r="E42" s="3"/>
    </row>
    <row r="43" spans="1:5">
      <c r="A43" s="1"/>
      <c r="C43" s="3"/>
      <c r="D43" s="3"/>
      <c r="E43" s="3"/>
    </row>
    <row r="44" spans="1:5">
      <c r="A44" s="1"/>
      <c r="C44" s="3"/>
      <c r="D44" s="3"/>
      <c r="E44" s="3"/>
    </row>
    <row r="45" spans="1:5">
      <c r="A45" s="1"/>
      <c r="C45" s="3"/>
      <c r="D45" s="3"/>
      <c r="E45" s="3"/>
    </row>
    <row r="46" spans="1:5">
      <c r="A46" s="1"/>
      <c r="C46" s="3"/>
      <c r="D46" s="3"/>
      <c r="E46" s="3"/>
    </row>
    <row r="47" spans="1:5">
      <c r="A47" s="1"/>
      <c r="C47" s="3"/>
      <c r="D47" s="3"/>
      <c r="E47" s="3"/>
    </row>
    <row r="48" spans="1:5">
      <c r="A48" s="1"/>
      <c r="C48" s="3"/>
      <c r="D48" s="3"/>
      <c r="E48" s="3"/>
    </row>
    <row r="49" spans="1:5">
      <c r="A49" s="1"/>
      <c r="C49" s="3"/>
      <c r="D49" s="3"/>
      <c r="E49" s="3"/>
    </row>
    <row r="50" spans="1:5">
      <c r="A50" s="1"/>
      <c r="C50" s="3"/>
      <c r="D50" s="3"/>
      <c r="E50" s="3"/>
    </row>
    <row r="51" spans="1:5">
      <c r="A51" s="1"/>
      <c r="C51" s="3"/>
      <c r="D51" s="3"/>
      <c r="E51" s="3"/>
    </row>
  </sheetData>
  <pageMargins left="0.7" right="0.7" top="0.75" bottom="0.75" header="0.3" footer="0.3"/>
  <pageSetup orientation="portrait" horizontalDpi="360" verticalDpi="36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647C-AEFE-49CE-B54E-C02C082EF681}">
  <dimension ref="A1:N45"/>
  <sheetViews>
    <sheetView tabSelected="1" topLeftCell="A13" zoomScale="175" zoomScaleNormal="175" workbookViewId="0">
      <selection activeCell="E42" sqref="A15:E42"/>
    </sheetView>
  </sheetViews>
  <sheetFormatPr defaultColWidth="9" defaultRowHeight="15"/>
  <cols>
    <col min="1" max="1" width="24.42578125" bestFit="1" customWidth="1"/>
    <col min="2" max="2" width="19" bestFit="1" customWidth="1"/>
    <col min="3" max="5" width="11.42578125" bestFit="1" customWidth="1"/>
    <col min="6" max="6" width="11.5703125" customWidth="1"/>
    <col min="7" max="9" width="11.42578125" bestFit="1" customWidth="1"/>
    <col min="10" max="10" width="14.28515625" bestFit="1" customWidth="1"/>
    <col min="11" max="11" width="19.85546875" bestFit="1" customWidth="1"/>
    <col min="12" max="14" width="11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>
      <c r="A2" s="1">
        <v>45791</v>
      </c>
      <c r="B2" s="7" t="s">
        <v>35</v>
      </c>
      <c r="C2" s="2">
        <v>113000</v>
      </c>
      <c r="D2" s="2"/>
      <c r="E2" s="2">
        <v>113000</v>
      </c>
    </row>
    <row r="3" spans="1:14">
      <c r="A3" s="1"/>
      <c r="B3" t="s">
        <v>33</v>
      </c>
      <c r="C3" s="2">
        <v>45000</v>
      </c>
      <c r="D3" s="3"/>
      <c r="E3" s="3">
        <f>E2+Table1_34[[#This Row],[Masuk]]-Table1_34[[#This Row],[Keluar]]</f>
        <v>158000</v>
      </c>
    </row>
    <row r="4" spans="1:14">
      <c r="A4" s="1">
        <v>45793</v>
      </c>
      <c r="B4" s="7" t="s">
        <v>34</v>
      </c>
      <c r="C4" s="3">
        <v>143000</v>
      </c>
      <c r="D4" s="3"/>
      <c r="E4" s="3">
        <f>E3+Table1_34[[#This Row],[Masuk]]-Table1_34[[#This Row],[Keluar]]</f>
        <v>301000</v>
      </c>
    </row>
    <row r="5" spans="1:14">
      <c r="A5" s="1"/>
      <c r="B5" s="8" t="s">
        <v>36</v>
      </c>
      <c r="C5" s="2"/>
      <c r="D5" s="3">
        <v>150000</v>
      </c>
      <c r="E5" s="3">
        <f>E4+Table1_34[[#This Row],[Masuk]]-Table1_34[[#This Row],[Keluar]]</f>
        <v>151000</v>
      </c>
      <c r="F5" s="4"/>
    </row>
    <row r="6" spans="1:14">
      <c r="A6" s="1"/>
      <c r="B6" s="8" t="s">
        <v>37</v>
      </c>
      <c r="C6" s="3"/>
      <c r="D6" s="3">
        <v>55200</v>
      </c>
      <c r="E6" s="3">
        <f>E5+Table1_34[[#This Row],[Masuk]]-Table1_34[[#This Row],[Keluar]]</f>
        <v>95800</v>
      </c>
    </row>
    <row r="7" spans="1:14">
      <c r="A7" s="1"/>
      <c r="B7" s="8" t="s">
        <v>38</v>
      </c>
      <c r="C7" s="2"/>
      <c r="D7" s="3">
        <v>79000</v>
      </c>
      <c r="E7" s="3">
        <f>E6+Table1_34[[#This Row],[Masuk]]-Table1_34[[#This Row],[Keluar]]</f>
        <v>16800</v>
      </c>
      <c r="L7" s="11">
        <v>1000</v>
      </c>
      <c r="M7">
        <v>4</v>
      </c>
      <c r="N7" s="12">
        <f t="shared" ref="N7:N16" si="0">L7*M7</f>
        <v>4000</v>
      </c>
    </row>
    <row r="8" spans="1:14">
      <c r="A8" s="1">
        <v>45794</v>
      </c>
      <c r="B8" s="7" t="s">
        <v>39</v>
      </c>
      <c r="C8" s="2">
        <v>450000</v>
      </c>
      <c r="D8" s="3"/>
      <c r="E8" s="3">
        <f>E7+Table1_34[[#This Row],[Masuk]]-Table1_34[[#This Row],[Keluar]]</f>
        <v>466800</v>
      </c>
      <c r="L8" s="11">
        <v>2000</v>
      </c>
      <c r="M8">
        <v>10</v>
      </c>
      <c r="N8" s="12">
        <f t="shared" si="0"/>
        <v>20000</v>
      </c>
    </row>
    <row r="9" spans="1:14">
      <c r="A9" s="1">
        <v>45800</v>
      </c>
      <c r="B9" s="7" t="s">
        <v>38</v>
      </c>
      <c r="C9" s="3"/>
      <c r="D9" s="3">
        <v>87000</v>
      </c>
      <c r="E9" s="3">
        <f>E8+Table1_34[[#This Row],[Masuk]]-Table1_34[[#This Row],[Keluar]]</f>
        <v>379800</v>
      </c>
      <c r="G9" s="4"/>
      <c r="L9" s="11">
        <v>5000</v>
      </c>
      <c r="M9">
        <v>3</v>
      </c>
      <c r="N9" s="12">
        <f t="shared" si="0"/>
        <v>15000</v>
      </c>
    </row>
    <row r="10" spans="1:14">
      <c r="A10" s="1"/>
      <c r="B10" s="8" t="s">
        <v>33</v>
      </c>
      <c r="C10" s="3">
        <v>37000</v>
      </c>
      <c r="D10" s="3"/>
      <c r="E10" s="3">
        <f>E9+Table1_34[[#This Row],[Masuk]]-Table1_34[[#This Row],[Keluar]]</f>
        <v>416800</v>
      </c>
      <c r="G10" s="4"/>
      <c r="L10" s="11">
        <v>10000</v>
      </c>
      <c r="M10">
        <v>3</v>
      </c>
      <c r="N10" s="12">
        <f t="shared" si="0"/>
        <v>30000</v>
      </c>
    </row>
    <row r="11" spans="1:14">
      <c r="A11" s="1">
        <v>45835</v>
      </c>
      <c r="B11" t="s">
        <v>40</v>
      </c>
      <c r="C11" s="3"/>
      <c r="D11" s="3">
        <v>168000</v>
      </c>
      <c r="E11" s="3">
        <f>E10+Table1_34[[#This Row],[Masuk]]-Table1_34[[#This Row],[Keluar]]</f>
        <v>248800</v>
      </c>
      <c r="G11" s="3"/>
      <c r="L11" s="11">
        <v>50000</v>
      </c>
      <c r="M11">
        <v>1</v>
      </c>
      <c r="N11" s="12">
        <f t="shared" si="0"/>
        <v>50000</v>
      </c>
    </row>
    <row r="12" spans="1:14">
      <c r="A12" s="1"/>
      <c r="B12" t="s">
        <v>33</v>
      </c>
      <c r="C12" s="3">
        <v>24000</v>
      </c>
      <c r="D12" s="3"/>
      <c r="E12" s="3">
        <f>E11+Table1_34[[#This Row],[Masuk]]-Table1_34[[#This Row],[Keluar]]</f>
        <v>272800</v>
      </c>
      <c r="L12" s="11">
        <v>100000</v>
      </c>
      <c r="M12">
        <v>2</v>
      </c>
      <c r="N12" s="12">
        <f t="shared" si="0"/>
        <v>200000</v>
      </c>
    </row>
    <row r="13" spans="1:14">
      <c r="A13" s="1">
        <v>45863</v>
      </c>
      <c r="B13" t="s">
        <v>36</v>
      </c>
      <c r="C13" s="3"/>
      <c r="D13" s="3">
        <v>130000</v>
      </c>
      <c r="E13" s="3">
        <f>E12+Table1_34[[#This Row],[Masuk]]-Table1_34[[#This Row],[Keluar]]</f>
        <v>142800</v>
      </c>
      <c r="L13" s="11">
        <v>100</v>
      </c>
      <c r="M13">
        <v>7</v>
      </c>
      <c r="N13" s="12">
        <f t="shared" si="0"/>
        <v>700</v>
      </c>
    </row>
    <row r="14" spans="1:14">
      <c r="A14" s="1"/>
      <c r="B14" t="s">
        <v>25</v>
      </c>
      <c r="C14" s="3"/>
      <c r="D14" s="3">
        <v>34000</v>
      </c>
      <c r="E14" s="3">
        <f>E13+Table1_34[[#This Row],[Masuk]]-Table1_34[[#This Row],[Keluar]]</f>
        <v>108800</v>
      </c>
      <c r="G14" s="3"/>
      <c r="H14" s="3"/>
      <c r="L14" s="11">
        <v>200</v>
      </c>
      <c r="M14">
        <v>1</v>
      </c>
      <c r="N14" s="12">
        <f t="shared" si="0"/>
        <v>200</v>
      </c>
    </row>
    <row r="15" spans="1:14">
      <c r="A15" s="1"/>
      <c r="B15" t="s">
        <v>39</v>
      </c>
      <c r="C15" s="3">
        <v>300000</v>
      </c>
      <c r="D15" s="3"/>
      <c r="E15" s="3">
        <f>E14+Table1_34[[#This Row],[Masuk]]-Table1_34[[#This Row],[Keluar]]</f>
        <v>408800</v>
      </c>
      <c r="H15" s="3"/>
      <c r="L15" s="11">
        <v>500</v>
      </c>
      <c r="M15">
        <v>1</v>
      </c>
      <c r="N15" s="12">
        <f t="shared" si="0"/>
        <v>500</v>
      </c>
    </row>
    <row r="16" spans="1:14">
      <c r="A16" s="1"/>
      <c r="B16" t="s">
        <v>33</v>
      </c>
      <c r="C16" s="3">
        <v>79000</v>
      </c>
      <c r="D16" s="3"/>
      <c r="E16" s="3">
        <f>E15+Table1_34[[#This Row],[Masuk]]-Table1_34[[#This Row],[Keluar]]</f>
        <v>487800</v>
      </c>
      <c r="H16" s="3"/>
      <c r="L16" s="11">
        <v>1000</v>
      </c>
      <c r="M16">
        <v>1</v>
      </c>
      <c r="N16" s="12">
        <f t="shared" si="0"/>
        <v>1000</v>
      </c>
    </row>
    <row r="17" spans="1:14">
      <c r="A17" s="1">
        <v>45884</v>
      </c>
      <c r="B17" t="s">
        <v>41</v>
      </c>
      <c r="C17" s="3"/>
      <c r="D17" s="3">
        <v>176000</v>
      </c>
      <c r="E17" s="3">
        <f>E16+Table1_34[[#This Row],[Masuk]]-Table1_34[[#This Row],[Keluar]]</f>
        <v>311800</v>
      </c>
      <c r="G17" s="3"/>
      <c r="H17" s="3"/>
      <c r="J17" s="13"/>
      <c r="N17" s="12">
        <f>SUM(N7:N16)</f>
        <v>321400</v>
      </c>
    </row>
    <row r="18" spans="1:14">
      <c r="A18" s="1"/>
      <c r="B18" t="s">
        <v>33</v>
      </c>
      <c r="C18" s="3">
        <v>40000</v>
      </c>
      <c r="E18" s="3">
        <f>E17+Table1_34[[#This Row],[Masuk]]-Table1_34[[#This Row],[Keluar]]</f>
        <v>351800</v>
      </c>
      <c r="G18" s="3"/>
      <c r="H18" s="3"/>
      <c r="J18" s="13"/>
    </row>
    <row r="19" spans="1:14">
      <c r="A19" s="1">
        <v>45891</v>
      </c>
      <c r="B19" t="s">
        <v>39</v>
      </c>
      <c r="C19" s="3">
        <v>150000</v>
      </c>
      <c r="D19" s="3"/>
      <c r="E19" s="3">
        <f>E18+Table1_34[[#This Row],[Masuk]]-Table1_34[[#This Row],[Keluar]]</f>
        <v>501800</v>
      </c>
      <c r="G19" s="3"/>
      <c r="H19" s="3"/>
      <c r="J19" s="3"/>
      <c r="N19" s="9">
        <f>N17-E32</f>
        <v>-25400</v>
      </c>
    </row>
    <row r="20" spans="1:14">
      <c r="A20" s="1"/>
      <c r="B20" t="s">
        <v>42</v>
      </c>
      <c r="C20" s="3"/>
      <c r="D20" s="3">
        <v>100000</v>
      </c>
      <c r="E20" s="3">
        <f>E19+Table1_34[[#This Row],[Masuk]]-Table1_34[[#This Row],[Keluar]]</f>
        <v>401800</v>
      </c>
      <c r="G20" s="11">
        <v>2300</v>
      </c>
      <c r="H20">
        <v>1</v>
      </c>
      <c r="I20" s="12">
        <f>G20*H20</f>
        <v>2300</v>
      </c>
      <c r="J20" s="3"/>
    </row>
    <row r="21" spans="1:14">
      <c r="A21" s="1"/>
      <c r="B21" t="s">
        <v>33</v>
      </c>
      <c r="C21" s="3">
        <f>38000+5000</f>
        <v>43000</v>
      </c>
      <c r="D21" s="3"/>
      <c r="E21" s="3">
        <f>E20+Table1_34[[#This Row],[Masuk]]-Table1_34[[#This Row],[Keluar]]</f>
        <v>444800</v>
      </c>
      <c r="G21" s="11">
        <v>1000</v>
      </c>
      <c r="H21">
        <v>4</v>
      </c>
      <c r="I21" s="12">
        <f t="shared" ref="I21:I27" si="1">G21*H21</f>
        <v>4000</v>
      </c>
      <c r="J21" s="3"/>
    </row>
    <row r="22" spans="1:14">
      <c r="A22" s="1">
        <v>45912</v>
      </c>
      <c r="B22" t="s">
        <v>33</v>
      </c>
      <c r="C22" s="3">
        <v>19000</v>
      </c>
      <c r="D22" s="3"/>
      <c r="E22" s="3">
        <f>E21+Table1_34[[#This Row],[Masuk]]-Table1_34[[#This Row],[Keluar]]</f>
        <v>463800</v>
      </c>
      <c r="G22" s="11">
        <v>2000</v>
      </c>
      <c r="H22">
        <v>10</v>
      </c>
      <c r="I22" s="12">
        <f t="shared" si="1"/>
        <v>20000</v>
      </c>
    </row>
    <row r="23" spans="1:14">
      <c r="A23" s="1">
        <v>45919</v>
      </c>
      <c r="B23" t="s">
        <v>36</v>
      </c>
      <c r="C23" s="3"/>
      <c r="D23" s="3">
        <v>130000</v>
      </c>
      <c r="E23" s="3">
        <f>E22+Table1_34[[#This Row],[Masuk]]-Table1_34[[#This Row],[Keluar]]</f>
        <v>333800</v>
      </c>
      <c r="G23" s="11">
        <v>5000</v>
      </c>
      <c r="H23">
        <v>4</v>
      </c>
      <c r="I23" s="12">
        <f t="shared" si="1"/>
        <v>20000</v>
      </c>
    </row>
    <row r="24" spans="1:14">
      <c r="A24" s="1"/>
      <c r="B24" t="s">
        <v>33</v>
      </c>
      <c r="C24" s="3">
        <v>54000</v>
      </c>
      <c r="D24" s="3"/>
      <c r="E24" s="3">
        <f>E23+Table1_34[[#This Row],[Masuk]]-Table1_34[[#This Row],[Keluar]]</f>
        <v>387800</v>
      </c>
      <c r="G24" s="11">
        <v>10000</v>
      </c>
      <c r="H24">
        <v>4</v>
      </c>
      <c r="I24" s="12">
        <f t="shared" si="1"/>
        <v>40000</v>
      </c>
    </row>
    <row r="25" spans="1:14">
      <c r="A25" s="1">
        <v>45940</v>
      </c>
      <c r="B25" s="7" t="s">
        <v>43</v>
      </c>
      <c r="C25" s="3"/>
      <c r="D25" s="3">
        <v>150000</v>
      </c>
      <c r="E25" s="3">
        <f>E24+Table1_34[[#This Row],[Masuk]]-Table1_34[[#This Row],[Keluar]]</f>
        <v>237800</v>
      </c>
      <c r="G25" s="11">
        <v>20000</v>
      </c>
      <c r="H25">
        <v>1</v>
      </c>
      <c r="I25" s="12">
        <f t="shared" si="1"/>
        <v>20000</v>
      </c>
    </row>
    <row r="26" spans="1:14">
      <c r="A26" s="1"/>
      <c r="B26" s="10" t="s">
        <v>44</v>
      </c>
      <c r="C26" s="3"/>
      <c r="D26" s="3">
        <v>21000</v>
      </c>
      <c r="E26" s="3">
        <f>E25+Table1_34[[#This Row],[Masuk]]-Table1_34[[#This Row],[Keluar]]</f>
        <v>216800</v>
      </c>
      <c r="G26" s="11">
        <v>50000</v>
      </c>
      <c r="H26">
        <v>1</v>
      </c>
      <c r="I26" s="12">
        <f t="shared" si="1"/>
        <v>50000</v>
      </c>
    </row>
    <row r="27" spans="1:14">
      <c r="A27" s="1"/>
      <c r="B27" s="10" t="s">
        <v>33</v>
      </c>
      <c r="C27" s="3">
        <v>37000</v>
      </c>
      <c r="D27" s="3"/>
      <c r="E27" s="3">
        <f>E26+Table1_34[[#This Row],[Masuk]]-Table1_34[[#This Row],[Keluar]]</f>
        <v>253800</v>
      </c>
      <c r="G27" s="11">
        <v>100000</v>
      </c>
      <c r="H27">
        <v>2</v>
      </c>
      <c r="I27" s="12">
        <f t="shared" si="1"/>
        <v>200000</v>
      </c>
      <c r="K27" s="3">
        <v>154000</v>
      </c>
      <c r="L27">
        <v>1</v>
      </c>
      <c r="M27" s="3">
        <f>K27*L27</f>
        <v>154000</v>
      </c>
    </row>
    <row r="28" spans="1:14">
      <c r="A28" s="1">
        <v>45947</v>
      </c>
      <c r="B28" s="7" t="s">
        <v>39</v>
      </c>
      <c r="C28" s="3">
        <v>300000</v>
      </c>
      <c r="D28" s="3"/>
      <c r="E28" s="3">
        <f>E27+Table1_34[[#This Row],[Masuk]]-Table1_34[[#This Row],[Keluar]]</f>
        <v>553800</v>
      </c>
      <c r="I28" s="12">
        <f>SUM(I20:I27)</f>
        <v>356300</v>
      </c>
      <c r="K28" s="3">
        <v>5000</v>
      </c>
      <c r="L28">
        <v>1</v>
      </c>
      <c r="M28" s="3">
        <f t="shared" ref="M28:M30" si="2">K28*L28</f>
        <v>5000</v>
      </c>
    </row>
    <row r="29" spans="1:14">
      <c r="A29" s="1"/>
      <c r="B29" s="10" t="s">
        <v>45</v>
      </c>
      <c r="C29" s="3"/>
      <c r="D29" s="3">
        <v>170000</v>
      </c>
      <c r="E29" s="3">
        <f>E28+Table1_34[[#This Row],[Masuk]]-Table1_34[[#This Row],[Keluar]]</f>
        <v>383800</v>
      </c>
      <c r="K29" s="3">
        <v>900</v>
      </c>
      <c r="L29">
        <v>1</v>
      </c>
      <c r="M29" s="3">
        <f t="shared" si="2"/>
        <v>900</v>
      </c>
    </row>
    <row r="30" spans="1:14">
      <c r="A30" s="1"/>
      <c r="B30" s="10" t="s">
        <v>46</v>
      </c>
      <c r="C30" s="3"/>
      <c r="D30" s="3">
        <v>30000</v>
      </c>
      <c r="E30" s="3">
        <f>E29+Table1_34[[#This Row],[Masuk]]-Table1_34[[#This Row],[Keluar]]</f>
        <v>353800</v>
      </c>
      <c r="I30" s="9">
        <f>I28-E36</f>
        <v>-25500</v>
      </c>
      <c r="K30" s="3">
        <v>500</v>
      </c>
      <c r="L30">
        <v>1</v>
      </c>
      <c r="M30" s="3">
        <f t="shared" si="2"/>
        <v>500</v>
      </c>
    </row>
    <row r="31" spans="1:14">
      <c r="A31" s="1"/>
      <c r="B31" s="10" t="s">
        <v>44</v>
      </c>
      <c r="C31" s="3"/>
      <c r="D31" s="3">
        <v>22000</v>
      </c>
      <c r="E31" s="3">
        <f>E30+Table1_34[[#This Row],[Masuk]]-Table1_34[[#This Row],[Keluar]]</f>
        <v>331800</v>
      </c>
      <c r="K31" s="3"/>
      <c r="M31" s="3">
        <f>SUM(M27:M30)</f>
        <v>160400</v>
      </c>
    </row>
    <row r="32" spans="1:14">
      <c r="A32" s="1"/>
      <c r="B32" s="10" t="s">
        <v>33</v>
      </c>
      <c r="C32" s="3">
        <v>15000</v>
      </c>
      <c r="D32" s="3"/>
      <c r="E32" s="3">
        <f>E31+Table1_34[[#This Row],[Masuk]]-Table1_34[[#This Row],[Keluar]]</f>
        <v>346800</v>
      </c>
      <c r="K32" s="3"/>
    </row>
    <row r="33" spans="1:13">
      <c r="A33" s="1">
        <v>45975</v>
      </c>
      <c r="B33" t="s">
        <v>39</v>
      </c>
      <c r="C33" s="3">
        <v>200000</v>
      </c>
      <c r="D33" s="3"/>
      <c r="E33" s="3">
        <f>E32+Table1_34[[#This Row],[Masuk]]-Table1_34[[#This Row],[Keluar]]</f>
        <v>546800</v>
      </c>
      <c r="M33" s="3">
        <f>M31-E40</f>
        <v>-26400</v>
      </c>
    </row>
    <row r="34" spans="1:13">
      <c r="A34" s="1"/>
      <c r="B34" t="s">
        <v>40</v>
      </c>
      <c r="C34" s="3"/>
      <c r="D34" s="3">
        <v>160000</v>
      </c>
      <c r="E34" s="3">
        <f>E33+Table1_34[[#This Row],[Masuk]]-Table1_34[[#This Row],[Keluar]]</f>
        <v>386800</v>
      </c>
    </row>
    <row r="35" spans="1:13">
      <c r="A35" s="1"/>
      <c r="B35" t="s">
        <v>46</v>
      </c>
      <c r="C35" s="3"/>
      <c r="D35" s="3">
        <v>30000</v>
      </c>
      <c r="E35" s="3">
        <f>E34+Table1_34[[#This Row],[Masuk]]-Table1_34[[#This Row],[Keluar]]</f>
        <v>356800</v>
      </c>
      <c r="H35">
        <v>-25400</v>
      </c>
      <c r="I35">
        <f>H35-H36</f>
        <v>100</v>
      </c>
    </row>
    <row r="36" spans="1:13">
      <c r="A36" s="1"/>
      <c r="B36" t="s">
        <v>33</v>
      </c>
      <c r="C36" s="3">
        <v>25000</v>
      </c>
      <c r="D36" s="3"/>
      <c r="E36" s="3">
        <f>E35+Table1_34[[#This Row],[Masuk]]-Table1_34[[#This Row],[Keluar]]</f>
        <v>381800</v>
      </c>
      <c r="H36">
        <v>-25500</v>
      </c>
      <c r="I36">
        <f>H36-H37</f>
        <v>900</v>
      </c>
    </row>
    <row r="37" spans="1:13">
      <c r="A37" s="1">
        <v>45982</v>
      </c>
      <c r="B37" t="s">
        <v>43</v>
      </c>
      <c r="C37" s="3"/>
      <c r="D37" s="3">
        <v>150000</v>
      </c>
      <c r="E37" s="3">
        <f>E36+Table1_34[[#This Row],[Masuk]]-Table1_34[[#This Row],[Keluar]]</f>
        <v>231800</v>
      </c>
      <c r="H37">
        <v>-26400</v>
      </c>
    </row>
    <row r="38" spans="1:13">
      <c r="A38" s="1"/>
      <c r="B38" t="s">
        <v>46</v>
      </c>
      <c r="C38" s="3"/>
      <c r="D38" s="3">
        <v>30000</v>
      </c>
      <c r="E38" s="3">
        <f>E37+Table1_34[[#This Row],[Masuk]]-Table1_34[[#This Row],[Keluar]]</f>
        <v>201800</v>
      </c>
    </row>
    <row r="39" spans="1:13">
      <c r="A39" s="1"/>
      <c r="B39" t="s">
        <v>38</v>
      </c>
      <c r="C39" s="3"/>
      <c r="D39" s="3">
        <v>70000</v>
      </c>
      <c r="E39" s="3">
        <f>E38+Table1_34[[#This Row],[Masuk]]-Table1_34[[#This Row],[Keluar]]</f>
        <v>131800</v>
      </c>
    </row>
    <row r="40" spans="1:13">
      <c r="A40" s="1"/>
      <c r="B40" t="s">
        <v>33</v>
      </c>
      <c r="C40" s="3">
        <v>55000</v>
      </c>
      <c r="D40" s="3"/>
      <c r="E40" s="3">
        <f>E39+Table1_34[[#This Row],[Masuk]]-Table1_34[[#This Row],[Keluar]]</f>
        <v>186800</v>
      </c>
    </row>
    <row r="41" spans="1:13">
      <c r="A41" s="1">
        <v>46010</v>
      </c>
      <c r="B41" t="s">
        <v>43</v>
      </c>
      <c r="C41" s="3"/>
      <c r="D41" s="3">
        <v>180000</v>
      </c>
      <c r="E41" s="3">
        <f>E40+Table1_34[[#This Row],[Masuk]]-Table1_34[[#This Row],[Keluar]]</f>
        <v>6800</v>
      </c>
    </row>
    <row r="42" spans="1:13">
      <c r="A42" s="1"/>
      <c r="B42" t="s">
        <v>33</v>
      </c>
      <c r="C42" s="3">
        <v>24000</v>
      </c>
      <c r="D42" s="3"/>
      <c r="E42" s="3">
        <f>E41+Table1_34[[#This Row],[Masuk]]-Table1_34[[#This Row],[Keluar]]</f>
        <v>30800</v>
      </c>
    </row>
    <row r="43" spans="1:13">
      <c r="A43" s="1"/>
      <c r="C43" s="3"/>
      <c r="D43" s="3"/>
      <c r="E43" s="3"/>
    </row>
    <row r="44" spans="1:13">
      <c r="A44" s="1"/>
      <c r="C44" s="3"/>
      <c r="D44" s="3"/>
      <c r="E44" s="3"/>
    </row>
    <row r="45" spans="1:13">
      <c r="A45" s="1"/>
      <c r="C45" s="3"/>
      <c r="D45" s="3"/>
      <c r="E45" s="3"/>
    </row>
  </sheetData>
  <pageMargins left="0.7" right="0.7" top="0.75" bottom="0.75" header="0.3" footer="0.3"/>
  <pageSetup orientation="portrait" horizontalDpi="360" verticalDpi="36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Zaini</cp:lastModifiedBy>
  <dcterms:created xsi:type="dcterms:W3CDTF">2015-06-12T10:17:00Z</dcterms:created>
  <dcterms:modified xsi:type="dcterms:W3CDTF">2025-12-19T15:06:01Z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