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SATIDZ\Zen\pengajian-baru\Absen\"/>
    </mc:Choice>
  </mc:AlternateContent>
  <xr:revisionPtr revIDLastSave="0" documentId="13_ncr:1_{A809FB15-5B3F-4EB0-951F-7731170B3E63}" xr6:coauthVersionLast="47" xr6:coauthVersionMax="47" xr10:uidLastSave="{00000000-0000-0000-0000-000000000000}"/>
  <bookViews>
    <workbookView xWindow="-120" yWindow="-120" windowWidth="29040" windowHeight="15720" xr2:uid="{2E39FF77-035B-4F7C-ACEB-1A442C392774}"/>
  </bookViews>
  <sheets>
    <sheet name="TARBIYAH" sheetId="2" r:id="rId1"/>
    <sheet name="DAKWA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G16" i="2"/>
  <c r="G14" i="2"/>
  <c r="G12" i="2"/>
  <c r="G11" i="2"/>
  <c r="P14" i="2"/>
  <c r="P12" i="2"/>
  <c r="G10" i="2"/>
  <c r="D21" i="2"/>
  <c r="D19" i="2"/>
  <c r="D18" i="2"/>
  <c r="D17" i="2"/>
  <c r="D16" i="2"/>
  <c r="D15" i="2"/>
  <c r="D14" i="2"/>
  <c r="D13" i="2"/>
  <c r="D12" i="2"/>
  <c r="D11" i="2"/>
  <c r="D22" i="2" s="1"/>
  <c r="D23" i="2" s="1"/>
  <c r="D10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<sst xmlns="http://schemas.openxmlformats.org/spreadsheetml/2006/main" count="98" uniqueCount="71">
  <si>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</si>
  <si>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</si>
  <si>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</si>
  <si>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</si>
  <si>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</si>
  <si>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</si>
  <si>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</si>
  <si>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</si>
  <si>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</si>
  <si>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</si>
  <si>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</si>
  <si>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</si>
  <si>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</si>
  <si>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</si>
  <si>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</si>
  <si>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</si>
  <si>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</si>
  <si>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</si>
  <si>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</si>
  <si>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</si>
  <si>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</si>
  <si>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</si>
  <si>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</si>
  <si>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</si>
  <si>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</si>
  <si>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</si>
  <si>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</si>
  <si>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</si>
  <si>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</si>
  <si>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</si>
  <si>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</si>
  <si>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</si>
  <si>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</si>
  <si>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</si>
  <si>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</si>
  <si>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</si>
  <si>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</si>
  <si>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</si>
  <si>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</si>
  <si>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</si>
  <si>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</si>
  <si>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</si>
  <si>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</si>
  <si>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</si>
  <si>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</si>
  <si>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</si>
  <si>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</si>
  <si>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</si>
  <si>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</si>
  <si>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</si>
  <si>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</si>
  <si>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</si>
  <si>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</si>
  <si>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</si>
  <si>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</si>
  <si>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</si>
  <si>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</si>
  <si>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</si>
  <si>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</si>
  <si>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</si>
  <si>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Masih kerja</t>
  </si>
  <si>
    <t>: NOVEMBER 2025</t>
  </si>
  <si>
    <t>14 November 2025</t>
  </si>
  <si>
    <t>21 November 2025</t>
  </si>
  <si>
    <t>Ujian di kampus</t>
  </si>
  <si>
    <t>Acara di Loa Duri</t>
  </si>
  <si>
    <t>Anak sakit</t>
  </si>
  <si>
    <t>Dinas malam</t>
  </si>
  <si>
    <t>Ada kerjaan mendadak</t>
  </si>
  <si>
    <t>Masih di kantor</t>
  </si>
  <si>
    <t>Dinas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</si>
</sst>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9">
  <autoFilter ref="M10:N21" xr:uid="{50CAA0CF-06E4-471A-8CAA-E0E3D0553E02}"/>
  <tableColumns count="2">
    <tableColumn id="1" xr3:uid="{7BD02032-E365-49A8-ADAB-44D6FB3AFCD1}" name="Nama" dataDxfId="8"/>
    <tableColumn id="2" xr3:uid="{41948D79-27FC-4502-92CC-571E48B0487D}" name="Nomor WA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6" dataDxfId="5">
  <autoFilter ref="P26:Q27" xr:uid="{11B7F338-C63F-40E2-80FF-0AC823156E9D}"/>
  <tableColumns count="2">
    <tableColumn id="1" xr3:uid="{84005749-F834-45CA-94CD-2EDD5B1E1F63}" name="Teks WA 1" dataDxfId="4"/>
    <tableColumn id="2" xr3:uid="{29720DB4-DB3A-41BE-9B35-9301A3705ADA}" name="Teks WA 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K18" sqref="K18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2.5703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61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12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 t="s">
        <v>64</v>
      </c>
      <c r="F13" s="18" t="b">
        <v>1</v>
      </c>
      <c r="G13" s="18" t="b">
        <v>0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>F14</f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60</v>
      </c>
      <c r="F15" s="18" t="b">
        <v>0</v>
      </c>
      <c r="G15" s="18" t="b">
        <v>0</v>
      </c>
      <c r="H15" s="10" t="s">
        <v>69</v>
      </c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 t="s">
        <v>65</v>
      </c>
      <c r="F16" s="18" t="b">
        <v>1</v>
      </c>
      <c r="G16" s="18" t="b">
        <f>F16</f>
        <v>1</v>
      </c>
      <c r="H16" s="11"/>
      <c r="M16" s="1" t="s">
        <v>48</v>
      </c>
      <c r="N16" s="35" t="s">
        <v>37</v>
      </c>
      <c r="P16" s="1" t="str">
        <f t="shared" si="2"/>
        <v/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0</v>
      </c>
      <c r="G17" s="18" t="b">
        <v>0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https://wa.me/6282124386879?text=Assalamualaikum%20Mas%20Suhud%0A%0ASaya%20mau%20minta%20keterangannya%20untuk%20ketidakhadiran%20pengajian%20tanggal%2014%20November%202025%20dan%20tanggal%2021%20November%202025%0A%0ATerima%20kasih%E2%80%A6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 t="s">
        <v>67</v>
      </c>
      <c r="F18" s="18" t="b">
        <v>0</v>
      </c>
      <c r="G18" s="18" t="b">
        <v>0</v>
      </c>
      <c r="H18" s="10" t="s">
        <v>70</v>
      </c>
      <c r="M18" s="1" t="s">
        <v>50</v>
      </c>
      <c r="N18" s="35" t="s">
        <v>39</v>
      </c>
      <c r="P18" s="1" t="str">
        <f t="shared" si="2"/>
        <v/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>F19</f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1</v>
      </c>
      <c r="D20" s="18" t="b">
        <v>0</v>
      </c>
      <c r="E20" s="10"/>
      <c r="F20" s="18" t="b">
        <v>0</v>
      </c>
      <c r="G20" s="18" t="b">
        <v>0</v>
      </c>
      <c r="H20" s="11" t="s">
        <v>68</v>
      </c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 t="s">
        <v>66</v>
      </c>
      <c r="F21" s="18" t="b">
        <v>1</v>
      </c>
      <c r="G21" s="18" t="b">
        <v>0</v>
      </c>
      <c r="H21" s="10"/>
      <c r="M21" s="1" t="s">
        <v>53</v>
      </c>
      <c r="N21" s="35" t="s">
        <v>42</v>
      </c>
      <c r="P21" s="1" t="str">
        <f t="shared" si="2"/>
        <v/>
      </c>
    </row>
    <row r="22" spans="1:17" s="2" customFormat="1" x14ac:dyDescent="0.25">
      <c r="A22" s="39"/>
      <c r="B22" s="20" t="s">
        <v>5</v>
      </c>
      <c r="C22" s="20">
        <f>SUM(COUNTIF(C10:C21,TRUE))</f>
        <v>6</v>
      </c>
      <c r="D22" s="20">
        <f>SUM(COUNTIF(D10:D21,TRUE))</f>
        <v>5</v>
      </c>
      <c r="E22" s="19"/>
      <c r="F22" s="20">
        <f t="shared" ref="F22:G22" si="3">SUM(COUNTIF(F10:F21,TRUE))</f>
        <v>8</v>
      </c>
      <c r="G22" s="20">
        <f t="shared" si="3"/>
        <v>6</v>
      </c>
      <c r="H22" s="19"/>
    </row>
    <row r="23" spans="1:17" x14ac:dyDescent="0.25">
      <c r="A23" s="40"/>
      <c r="B23" s="21" t="s">
        <v>25</v>
      </c>
      <c r="C23" s="33">
        <f>C22/$A$21*100</f>
        <v>50</v>
      </c>
      <c r="D23" s="33">
        <f>D22/$A$21*100</f>
        <v>41.666666666666671</v>
      </c>
      <c r="E23" s="19"/>
      <c r="F23" s="33">
        <f>F22/$A$21*100</f>
        <v>66.666666666666657</v>
      </c>
      <c r="G23" s="33">
        <f>G22/$A$21*100</f>
        <v>50</v>
      </c>
      <c r="H23" s="19"/>
    </row>
    <row r="25" spans="1:17" x14ac:dyDescent="0.25">
      <c r="C25" s="37" t="s">
        <v>62</v>
      </c>
      <c r="F25" s="38" t="s">
        <v>63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2" priority="12" operator="equal">
      <formula>FALSE</formula>
    </cfRule>
  </conditionalFormatting>
  <conditionalFormatting sqref="F10:G21">
    <cfRule type="cellIs" dxfId="1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C21" sqref="C21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NOVEMBER 2025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1</v>
      </c>
      <c r="D10" s="28" t="b">
        <v>0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1</v>
      </c>
      <c r="D11" s="28" t="b">
        <v>0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1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0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1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4</v>
      </c>
      <c r="D22" s="20">
        <f>SUM(COUNTIF(D10:D21,TRUE))</f>
        <v>0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33.333333333333329</v>
      </c>
      <c r="D23" s="34">
        <f>D22/$A$21*100</f>
        <v>0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mabaiz</cp:lastModifiedBy>
  <dcterms:created xsi:type="dcterms:W3CDTF">2023-06-07T15:38:34Z</dcterms:created>
  <dcterms:modified xsi:type="dcterms:W3CDTF">2025-12-02T09:15:36Z</dcterms:modified>
</cp:coreProperties>
</file>