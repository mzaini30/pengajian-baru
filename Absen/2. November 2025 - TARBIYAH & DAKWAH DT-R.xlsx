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engajian\Absen\"/>
    </mc:Choice>
  </mc:AlternateContent>
  <xr:revisionPtr revIDLastSave="0" documentId="13_ncr:1_{CD692250-60E0-465B-B99B-755B143C2436}" xr6:coauthVersionLast="47" xr6:coauthVersionMax="47" xr10:uidLastSave="{00000000-0000-0000-0000-000000000000}"/>
  <bookViews>
    <workbookView xWindow="-120" yWindow="-120" windowWidth="38640" windowHeight="21240" xr2:uid="{2E39FF77-035B-4F7C-ACEB-1A442C392774}"/>
  </bookViews>
  <sheets>
    <sheet name="TARBIYAH" sheetId="2" r:id="rId1"/>
    <sheet name="DAKWAH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2" l="1"/>
  <c r="G20" i="2"/>
  <c r="G19" i="2"/>
  <c r="G18" i="2"/>
  <c r="G17" i="2"/>
  <c r="G16" i="2"/>
  <c r="G15" i="2"/>
  <c r="G14" i="2"/>
  <c r="G13" i="2"/>
  <c r="G12" i="2"/>
  <c r="G11" i="2"/>
  <c r="G10" i="2"/>
  <c r="D21" i="2"/>
  <c r="D19" i="2"/>
  <c r="D18" i="2"/>
  <c r="D17" i="2"/>
  <c r="D16" i="2"/>
  <c r="D15" i="2"/>
  <c r="D14" i="2"/>
  <c r="D13" i="2"/>
  <c r="D12" i="2"/>
  <c r="D11" i="2"/>
  <c r="D22" i="2" s="1"/>
  <c r="D23" i="2" s="1"/>
  <c r="D10" i="2"/>
  <c r="B6" i="3"/>
  <c r="P21" i="2"/>
  <c r="P20" i="2"/>
  <c r="P19" i="2"/>
  <c r="P18" i="2"/>
  <c r="P17" i="2"/>
  <c r="P16" i="2"/>
  <c r="P15" i="2"/>
  <c r="P14" i="2"/>
  <c r="P13" i="2"/>
  <c r="P12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<sst xmlns="http://schemas.openxmlformats.org/spreadsheetml/2006/main" count="94" uniqueCount="67">
  <si>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</si>
  <si>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</si>
  <si>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</si>
  <si>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</si>
  <si>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</si>
  <si>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</si>
  <si>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</si>
  <si>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</si>
  <si>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</si>
  <si>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</si>
  <si>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</si>
  <si>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</si>
  <si>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</si>
  <si>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</si>
  <si>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</si>
  <si>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</si>
  <si>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</si>
  <si>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</si>
  <si>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</si>
  <si>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</si>
  <si>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</si>
  <si>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</si>
  <si>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</si>
  <si>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</si>
  <si>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</si>
  <si>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</si>
  <si>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</si>
  <si>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</si>
  <si>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</si>
  <si>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</si>
  <si>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</si>
  <si>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</si>
  <si>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</si>
  <si>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</si>
  <si>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</si>
  <si>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</si>
  <si>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</si>
  <si>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</si>
  <si>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</si>
  <si>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</si>
  <si>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</si>
  <si>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</si>
  <si>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</si>
  <si>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</si>
  <si>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</si>
  <si>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</si>
  <si>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</si>
  <si>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</si>
  <si>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</si>
  <si>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</si>
  <si>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</si>
  <si>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</si>
  <si>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</si>
  <si>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</si>
  <si>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</si>
  <si>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</si>
  <si>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</si>
  <si>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</si>
  <si>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</si>
  <si>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</si>
  <si>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Masih kerja</t>
  </si>
  <si>
    <t>: NOVEMBER 2025</t>
  </si>
  <si>
    <t>14 November 2025</t>
  </si>
  <si>
    <t>21 November 2025</t>
  </si>
  <si>
    <t>Ujian di kampus</t>
  </si>
  <si>
    <t>Acara di Loa Duri</t>
  </si>
  <si>
    <t>Anak sakit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</si>
</sst>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9">
  <autoFilter ref="M10:N21" xr:uid="{50CAA0CF-06E4-471A-8CAA-E0E3D0553E02}"/>
  <tableColumns count="2">
    <tableColumn id="1" xr3:uid="{7BD02032-E365-49A8-ADAB-44D6FB3AFCD1}" name="Nama" dataDxfId="8"/>
    <tableColumn id="2" xr3:uid="{41948D79-27FC-4502-92CC-571E48B0487D}" name="Nomor WA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6" dataDxfId="5">
  <autoFilter ref="P26:Q27" xr:uid="{11B7F338-C63F-40E2-80FF-0AC823156E9D}"/>
  <tableColumns count="2">
    <tableColumn id="1" xr3:uid="{84005749-F834-45CA-94CD-2EDD5B1E1F63}" name="Teks WA 1" dataDxfId="4"/>
    <tableColumn id="2" xr3:uid="{29720DB4-DB3A-41BE-9B35-9301A3705ADA}" name="Teks WA 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E21" sqref="E21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19.5703125" style="13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64</v>
      </c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60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 t="s">
        <v>65</v>
      </c>
      <c r="F16" s="18" t="b">
        <v>1</v>
      </c>
      <c r="G16" s="18" t="b">
        <f t="shared" si="1"/>
        <v>1</v>
      </c>
      <c r="H16" s="11"/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1</v>
      </c>
      <c r="G17" s="18" t="b">
        <f t="shared" si="1"/>
        <v>1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https://wa.me/6282124386879?text=Assalamualaikum%20Mas%20Suhud%0A%0ASaya%20mau%20minta%20keterangannya%20untuk%20ketidakhadiran%20pengajian%20tanggal%2014%20November%202025%0A%0ATerima%20kasih%E2%80%A6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1</v>
      </c>
      <c r="G18" s="18" t="b">
        <f t="shared" si="1"/>
        <v>1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https://wa.me/6282354144365?text=Assalamualaikum%20Mas%20Salman%0A%0ASaya%20mau%20minta%20keterangannya%20untuk%20ketidakhadiran%20pengajian%20tanggal%2014%20November%202025%0A%0ATerima%20kasih%E2%80%A6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1</v>
      </c>
      <c r="D20" s="18" t="b">
        <v>0</v>
      </c>
      <c r="E20" s="10"/>
      <c r="F20" s="18" t="b">
        <v>1</v>
      </c>
      <c r="G20" s="18" t="b">
        <f t="shared" si="1"/>
        <v>1</v>
      </c>
      <c r="H20" s="11"/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 t="s">
        <v>66</v>
      </c>
      <c r="F21" s="18" t="b">
        <v>1</v>
      </c>
      <c r="G21" s="18" t="b">
        <f t="shared" si="1"/>
        <v>1</v>
      </c>
      <c r="H21" s="10"/>
      <c r="M21" s="1" t="s">
        <v>53</v>
      </c>
      <c r="N21" s="35" t="s">
        <v>42</v>
      </c>
      <c r="P21" s="1" t="str">
        <f t="shared" si="2"/>
        <v/>
      </c>
    </row>
    <row r="22" spans="1:17" s="2" customFormat="1" x14ac:dyDescent="0.25">
      <c r="A22" s="39"/>
      <c r="B22" s="20" t="s">
        <v>5</v>
      </c>
      <c r="C22" s="20">
        <f>SUM(COUNTIF(C10:C21,TRUE))</f>
        <v>6</v>
      </c>
      <c r="D22" s="20">
        <f>SUM(COUNTIF(D10:D21,TRUE))</f>
        <v>5</v>
      </c>
      <c r="E22" s="19"/>
      <c r="F22" s="20">
        <f t="shared" ref="F22:G22" si="3">SUM(COUNTIF(F10:F21,TRUE))</f>
        <v>12</v>
      </c>
      <c r="G22" s="20">
        <f t="shared" si="3"/>
        <v>12</v>
      </c>
      <c r="H22" s="19"/>
    </row>
    <row r="23" spans="1:17" x14ac:dyDescent="0.25">
      <c r="A23" s="40"/>
      <c r="B23" s="21" t="s">
        <v>25</v>
      </c>
      <c r="C23" s="33">
        <f>C22/$A$21*100</f>
        <v>50</v>
      </c>
      <c r="D23" s="33">
        <f>D22/$A$21*100</f>
        <v>41.666666666666671</v>
      </c>
      <c r="E23" s="19"/>
      <c r="F23" s="33">
        <f>F22/$A$21*100</f>
        <v>100</v>
      </c>
      <c r="G23" s="33">
        <f>G22/$A$21*100</f>
        <v>100</v>
      </c>
      <c r="H23" s="19"/>
    </row>
    <row r="25" spans="1:17" x14ac:dyDescent="0.25">
      <c r="C25" s="37" t="s">
        <v>62</v>
      </c>
      <c r="F25" s="38" t="s">
        <v>63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2" priority="4" operator="equal">
      <formula>FALSE</formula>
    </cfRule>
  </conditionalFormatting>
  <conditionalFormatting sqref="F10:G21">
    <cfRule type="cellIs" dxfId="1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E15" sqref="E15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NOVEMBER 2025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0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0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0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0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0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Muhammad Zaini</cp:lastModifiedBy>
  <dcterms:created xsi:type="dcterms:W3CDTF">2023-06-07T15:38:34Z</dcterms:created>
  <dcterms:modified xsi:type="dcterms:W3CDTF">2025-11-16T13:48:21Z</dcterms:modified>
</cp:coreProperties>
</file>