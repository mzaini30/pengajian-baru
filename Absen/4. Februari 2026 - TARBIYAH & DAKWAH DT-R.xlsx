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gajian\Absen\"/>
    </mc:Choice>
  </mc:AlternateContent>
  <xr:revisionPtr revIDLastSave="0" documentId="13_ncr:1_{907B9F2D-A36D-442E-904D-1D842AE191E5}" xr6:coauthVersionLast="45" xr6:coauthVersionMax="47" xr10:uidLastSave="{00000000-0000-0000-0000-000000000000}"/>
  <bookViews>
    <workbookView xWindow="-120" yWindow="-120" windowWidth="38640" windowHeight="21240" xr2:uid="{2E39FF77-035B-4F7C-ACEB-1A442C392774}"/>
  </bookViews>
  <sheets>
    <sheet name="TARBIYAH" sheetId="2" r:id="rId1"/>
    <sheet name="DAKWA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G21" i="2" l="1"/>
  <c r="G20" i="2"/>
  <c r="G19" i="2"/>
  <c r="G18" i="2"/>
  <c r="G17" i="2"/>
  <c r="G16" i="2"/>
  <c r="G15" i="2"/>
  <c r="G14" i="2"/>
  <c r="G13" i="2"/>
  <c r="G12" i="2"/>
  <c r="G11" i="2"/>
  <c r="G10" i="2"/>
  <c r="D22" i="2"/>
  <c r="D23" i="2" s="1"/>
  <c r="P14" i="2"/>
  <c r="P12" i="2"/>
  <c r="B6" i="3"/>
  <c r="P21" i="2"/>
  <c r="P20" i="2"/>
  <c r="P19" i="2"/>
  <c r="P18" i="2"/>
  <c r="P17" i="2"/>
  <c r="P16" i="2"/>
  <c r="P15" i="2"/>
  <c r="P13" i="2"/>
  <c r="P1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<sst xmlns="http://schemas.openxmlformats.org/spreadsheetml/2006/main" count="94" uniqueCount="64">
  <si>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</si>
  <si>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</si>
  <si>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</si>
  <si>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</si>
  <si>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</si>
  <si>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</si>
  <si>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</si>
  <si>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</si>
  <si>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</si>
  <si>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</si>
  <si>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</si>
  <si>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</si>
  <si>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</si>
  <si>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</si>
  <si>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</si>
  <si>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</si>
  <si>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</si>
  <si>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</si>
  <si>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</si>
  <si>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</si>
  <si>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</si>
  <si>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</si>
  <si>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</si>
  <si>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</si>
  <si>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</si>
  <si>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</si>
  <si>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</si>
  <si>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</si>
  <si>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</si>
  <si>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</si>
  <si>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</si>
  <si>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</si>
  <si>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</si>
  <si>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</si>
  <si>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</si>
  <si>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</si>
  <si>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</si>
  <si>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</si>
  <si>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</si>
  <si>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</si>
  <si>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</si>
  <si>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</si>
  <si>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</si>
  <si>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</si>
  <si>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</si>
  <si>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</si>
  <si>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</si>
  <si>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</si>
  <si>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</si>
  <si>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</si>
  <si>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</si>
  <si>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</si>
  <si>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</si>
  <si>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</si>
  <si>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</si>
  <si>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</si>
  <si>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</si>
  <si>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</si>
  <si>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</si>
  <si>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</si>
  <si>
    <t>: FEBRUARI 2026</t>
  </si>
  <si>
    <t>13 Februari 2026</t>
  </si>
  <si>
    <t>Kerja</t>
  </si>
  <si>
    <t>24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</si>
</sst>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17">
  <autoFilter ref="M10:N21" xr:uid="{50CAA0CF-06E4-471A-8CAA-E0E3D0553E02}"/>
  <tableColumns count="2">
    <tableColumn id="1" xr3:uid="{7BD02032-E365-49A8-ADAB-44D6FB3AFCD1}" name="Nama" dataDxfId="16"/>
    <tableColumn id="2" xr3:uid="{41948D79-27FC-4502-92CC-571E48B0487D}" name="Nomor WA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14" dataDxfId="13">
  <autoFilter ref="P26:Q27" xr:uid="{11B7F338-C63F-40E2-80FF-0AC823156E9D}"/>
  <tableColumns count="2">
    <tableColumn id="1" xr3:uid="{84005749-F834-45CA-94CD-2EDD5B1E1F63}" name="Teks WA 1" dataDxfId="12"/>
    <tableColumn id="2" xr3:uid="{29720DB4-DB3A-41BE-9B35-9301A3705ADA}" name="Teks WA 2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F25" sqref="F25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22.5703125" style="13" bestFit="1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43" t="s">
        <v>30</v>
      </c>
      <c r="B1" s="43"/>
      <c r="C1" s="43"/>
      <c r="D1" s="43"/>
      <c r="E1" s="43"/>
      <c r="F1" s="43"/>
      <c r="G1" s="43"/>
      <c r="H1" s="43"/>
    </row>
    <row r="2" spans="1:16" s="3" customFormat="1" ht="22.15" customHeight="1" x14ac:dyDescent="0.25">
      <c r="A2" s="43" t="s">
        <v>26</v>
      </c>
      <c r="B2" s="43"/>
      <c r="C2" s="43"/>
      <c r="D2" s="43"/>
      <c r="E2" s="43"/>
      <c r="F2" s="43"/>
      <c r="G2" s="43"/>
      <c r="H2" s="43"/>
    </row>
    <row r="3" spans="1:16" s="3" customFormat="1" x14ac:dyDescent="0.25">
      <c r="A3" s="43"/>
      <c r="B3" s="43"/>
      <c r="C3" s="43"/>
      <c r="D3" s="43"/>
      <c r="E3" s="43"/>
      <c r="F3" s="43"/>
      <c r="G3" s="43"/>
      <c r="H3" s="43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8"/>
      <c r="G5" s="48"/>
      <c r="H5" s="8"/>
    </row>
    <row r="6" spans="1:16" s="4" customFormat="1" x14ac:dyDescent="0.25">
      <c r="A6" s="7" t="s">
        <v>21</v>
      </c>
      <c r="B6" s="7" t="s">
        <v>60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4" t="s">
        <v>19</v>
      </c>
      <c r="B8" s="44" t="s">
        <v>0</v>
      </c>
      <c r="C8" s="46" t="s">
        <v>6</v>
      </c>
      <c r="D8" s="47"/>
      <c r="E8" s="44" t="s">
        <v>4</v>
      </c>
      <c r="F8" s="46" t="s">
        <v>7</v>
      </c>
      <c r="G8" s="47"/>
      <c r="H8" s="44" t="s">
        <v>4</v>
      </c>
    </row>
    <row r="9" spans="1:16" s="3" customFormat="1" x14ac:dyDescent="0.25">
      <c r="A9" s="45"/>
      <c r="B9" s="45"/>
      <c r="C9" s="22" t="s">
        <v>1</v>
      </c>
      <c r="D9" s="22" t="s">
        <v>2</v>
      </c>
      <c r="E9" s="45"/>
      <c r="F9" s="22" t="s">
        <v>1</v>
      </c>
      <c r="G9" s="22" t="s">
        <v>2</v>
      </c>
      <c r="H9" s="45"/>
    </row>
    <row r="10" spans="1:16" x14ac:dyDescent="0.25">
      <c r="A10" s="9">
        <v>1</v>
      </c>
      <c r="B10" s="31" t="s">
        <v>8</v>
      </c>
      <c r="C10" s="18" t="b">
        <v>1</v>
      </c>
      <c r="D10" s="18" t="b">
        <f>C10</f>
        <v>1</v>
      </c>
      <c r="E10" s="10"/>
      <c r="F10" s="18" t="b">
        <v>1</v>
      </c>
      <c r="G10" s="18" t="b">
        <f>F10</f>
        <v>1</v>
      </c>
      <c r="H10" s="11"/>
      <c r="J10" s="41" t="s">
        <v>4</v>
      </c>
      <c r="K10" s="42"/>
      <c r="L10" s="3"/>
      <c r="M10" s="1" t="s">
        <v>54</v>
      </c>
      <c r="N10" s="1" t="s">
        <v>55</v>
      </c>
    </row>
    <row r="11" spans="1:16" x14ac:dyDescent="0.25">
      <c r="A11" s="9">
        <v>2</v>
      </c>
      <c r="B11" s="31" t="s">
        <v>31</v>
      </c>
      <c r="C11" s="18" t="b">
        <v>1</v>
      </c>
      <c r="D11" s="18" t="b">
        <f t="shared" ref="D11:D21" si="0">C11</f>
        <v>1</v>
      </c>
      <c r="E11" s="10"/>
      <c r="F11" s="18" t="b">
        <v>1</v>
      </c>
      <c r="G11" s="18" t="b">
        <f t="shared" ref="G11:G21" si="1">F11</f>
        <v>1</v>
      </c>
      <c r="H11" s="10"/>
      <c r="J11" s="23" t="s">
        <v>1</v>
      </c>
      <c r="K11" s="23" t="s">
        <v>23</v>
      </c>
      <c r="L11" s="3"/>
      <c r="M11" s="1" t="s">
        <v>43</v>
      </c>
      <c r="N11" s="35" t="s">
        <v>32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24</v>
      </c>
      <c r="L12" s="3"/>
      <c r="M12" s="1" t="s">
        <v>44</v>
      </c>
      <c r="N12" s="35" t="s">
        <v>33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1</v>
      </c>
      <c r="D13" s="18" t="b">
        <f t="shared" si="0"/>
        <v>1</v>
      </c>
      <c r="E13" s="10"/>
      <c r="F13" s="18" t="b">
        <v>1</v>
      </c>
      <c r="G13" s="18" t="b">
        <f t="shared" si="1"/>
        <v>1</v>
      </c>
      <c r="H13" s="11"/>
      <c r="L13" s="3"/>
      <c r="M13" s="1" t="s">
        <v>45</v>
      </c>
      <c r="N13" s="35" t="s">
        <v>34</v>
      </c>
      <c r="P13" s="1" t="str">
        <f t="shared" si="2"/>
        <v/>
      </c>
    </row>
    <row r="14" spans="1:16" x14ac:dyDescent="0.25">
      <c r="A14" s="9">
        <v>5</v>
      </c>
      <c r="B14" s="10" t="s">
        <v>11</v>
      </c>
      <c r="C14" s="18" t="b">
        <v>1</v>
      </c>
      <c r="D14" s="18" t="b">
        <f t="shared" si="0"/>
        <v>1</v>
      </c>
      <c r="E14" s="10"/>
      <c r="F14" s="18" t="b">
        <v>1</v>
      </c>
      <c r="G14" s="18" t="b">
        <f t="shared" si="1"/>
        <v>1</v>
      </c>
      <c r="H14" s="10"/>
      <c r="M14" s="1" t="s">
        <v>46</v>
      </c>
      <c r="N14" s="35" t="s">
        <v>35</v>
      </c>
      <c r="P14" s="1" t="str">
        <f t="shared" si="2"/>
        <v/>
      </c>
    </row>
    <row r="15" spans="1:16" x14ac:dyDescent="0.25">
      <c r="A15" s="9">
        <v>6</v>
      </c>
      <c r="B15" s="10" t="s">
        <v>12</v>
      </c>
      <c r="C15" s="18" t="b">
        <v>1</v>
      </c>
      <c r="D15" s="18" t="b">
        <f t="shared" si="0"/>
        <v>1</v>
      </c>
      <c r="E15" s="10"/>
      <c r="F15" s="18" t="b">
        <v>1</v>
      </c>
      <c r="G15" s="18" t="b">
        <f t="shared" si="1"/>
        <v>1</v>
      </c>
      <c r="H15" s="10"/>
      <c r="M15" s="1" t="s">
        <v>47</v>
      </c>
      <c r="N15" s="35" t="s">
        <v>36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1</v>
      </c>
      <c r="D16" s="18" t="b">
        <f t="shared" si="0"/>
        <v>1</v>
      </c>
      <c r="E16" s="10"/>
      <c r="F16" s="18" t="b">
        <v>1</v>
      </c>
      <c r="G16" s="18" t="b">
        <f t="shared" si="1"/>
        <v>1</v>
      </c>
      <c r="H16" s="11"/>
      <c r="M16" s="1" t="s">
        <v>48</v>
      </c>
      <c r="N16" s="35" t="s">
        <v>37</v>
      </c>
      <c r="P16" s="1" t="str">
        <f t="shared" si="2"/>
        <v/>
      </c>
    </row>
    <row r="17" spans="1:17" x14ac:dyDescent="0.25">
      <c r="A17" s="9">
        <v>8</v>
      </c>
      <c r="B17" s="10" t="s">
        <v>14</v>
      </c>
      <c r="C17" s="18" t="b">
        <v>0</v>
      </c>
      <c r="D17" s="18" t="b">
        <f t="shared" si="0"/>
        <v>0</v>
      </c>
      <c r="E17" s="10"/>
      <c r="F17" s="18" t="b">
        <v>0</v>
      </c>
      <c r="G17" s="18" t="b">
        <f t="shared" si="1"/>
        <v>0</v>
      </c>
      <c r="H17" s="10"/>
      <c r="M17" s="1" t="s">
        <v>49</v>
      </c>
      <c r="N17" s="35" t="s">
        <v>38</v>
      </c>
      <c r="P17" s="1" t="str">
        <f t="shared" si="2"/>
        <v>https://wa.me/6282124386879?text=Assalamualaikum%20Mas%20Suhud%0A%0ASaya%20mau%20minta%20keterangannya%20untuk%20ketidakhadiran%20pengajian%20tanggal%2013%20Februari%202026%20dan%20tanggal%2024%20Februari%202026%0A%0ATerima%20kasih%E2%80%A6</v>
      </c>
    </row>
    <row r="18" spans="1:17" x14ac:dyDescent="0.25">
      <c r="A18" s="9">
        <v>9</v>
      </c>
      <c r="B18" s="10" t="s">
        <v>15</v>
      </c>
      <c r="C18" s="18" t="b">
        <v>0</v>
      </c>
      <c r="D18" s="18" t="b">
        <f t="shared" si="0"/>
        <v>0</v>
      </c>
      <c r="E18" s="10" t="s">
        <v>62</v>
      </c>
      <c r="F18" s="18" t="b">
        <v>0</v>
      </c>
      <c r="G18" s="18" t="b">
        <f t="shared" si="1"/>
        <v>0</v>
      </c>
      <c r="H18" s="10" t="s">
        <v>62</v>
      </c>
      <c r="M18" s="1" t="s">
        <v>50</v>
      </c>
      <c r="N18" s="35" t="s">
        <v>39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/>
      <c r="M19" s="1" t="s">
        <v>51</v>
      </c>
      <c r="N19" s="35" t="s">
        <v>40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1</v>
      </c>
      <c r="D20" s="18" t="b">
        <f t="shared" si="0"/>
        <v>1</v>
      </c>
      <c r="E20" s="10"/>
      <c r="F20" s="18" t="b">
        <v>1</v>
      </c>
      <c r="G20" s="18" t="b">
        <f t="shared" si="1"/>
        <v>1</v>
      </c>
      <c r="H20" s="11"/>
      <c r="M20" s="1" t="s">
        <v>52</v>
      </c>
      <c r="N20" s="35" t="s">
        <v>41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0</v>
      </c>
      <c r="D21" s="18" t="b">
        <f t="shared" si="0"/>
        <v>0</v>
      </c>
      <c r="E21" s="10" t="s">
        <v>62</v>
      </c>
      <c r="F21" s="18" t="b">
        <v>0</v>
      </c>
      <c r="G21" s="18" t="b">
        <f t="shared" si="1"/>
        <v>0</v>
      </c>
      <c r="H21" s="10" t="s">
        <v>62</v>
      </c>
      <c r="M21" s="1" t="s">
        <v>53</v>
      </c>
      <c r="N21" s="35" t="s">
        <v>42</v>
      </c>
      <c r="P21" s="1" t="str">
        <f t="shared" si="2"/>
        <v/>
      </c>
    </row>
    <row r="22" spans="1:17" s="2" customFormat="1" x14ac:dyDescent="0.25">
      <c r="A22" s="39"/>
      <c r="B22" s="20" t="s">
        <v>5</v>
      </c>
      <c r="C22" s="20">
        <f>SUM(COUNTIF(C10:C21,TRUE))</f>
        <v>9</v>
      </c>
      <c r="D22" s="20">
        <f>SUM(COUNTIF(D10:D21,TRUE))</f>
        <v>9</v>
      </c>
      <c r="E22" s="19"/>
      <c r="F22" s="20">
        <f t="shared" ref="F22:G22" si="3">SUM(COUNTIF(F10:F21,TRUE))</f>
        <v>9</v>
      </c>
      <c r="G22" s="20">
        <f t="shared" si="3"/>
        <v>9</v>
      </c>
      <c r="H22" s="19"/>
    </row>
    <row r="23" spans="1:17" x14ac:dyDescent="0.25">
      <c r="A23" s="40"/>
      <c r="B23" s="21" t="s">
        <v>25</v>
      </c>
      <c r="C23" s="33">
        <f>C22/$A$21*100</f>
        <v>75</v>
      </c>
      <c r="D23" s="33">
        <f>D22/$A$21*100</f>
        <v>75</v>
      </c>
      <c r="E23" s="19"/>
      <c r="F23" s="33">
        <f>F22/$A$21*100</f>
        <v>75</v>
      </c>
      <c r="G23" s="33">
        <f>G22/$A$21*100</f>
        <v>75</v>
      </c>
      <c r="H23" s="19"/>
    </row>
    <row r="25" spans="1:17" x14ac:dyDescent="0.25">
      <c r="C25" s="37" t="s">
        <v>61</v>
      </c>
      <c r="F25" s="38" t="s">
        <v>63</v>
      </c>
    </row>
    <row r="26" spans="1:17" x14ac:dyDescent="0.25">
      <c r="P26" s="1" t="s">
        <v>56</v>
      </c>
      <c r="Q26" s="1" t="s">
        <v>57</v>
      </c>
    </row>
    <row r="27" spans="1:17" ht="110.25" x14ac:dyDescent="0.25">
      <c r="P27" s="36" t="s">
        <v>58</v>
      </c>
      <c r="Q27" s="36" t="s">
        <v>59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27" priority="31" operator="equal">
      <formula>FALSE</formula>
    </cfRule>
  </conditionalFormatting>
  <conditionalFormatting sqref="G10:G21">
    <cfRule type="cellIs" dxfId="26" priority="19" operator="equal">
      <formula>FALSE</formula>
    </cfRule>
  </conditionalFormatting>
  <conditionalFormatting sqref="F21 F17:F18">
    <cfRule type="cellIs" dxfId="9" priority="10" operator="equal">
      <formula>FALSE</formula>
    </cfRule>
  </conditionalFormatting>
  <conditionalFormatting sqref="F19">
    <cfRule type="cellIs" dxfId="8" priority="9" operator="equal">
      <formula>FALSE</formula>
    </cfRule>
  </conditionalFormatting>
  <conditionalFormatting sqref="F12">
    <cfRule type="cellIs" dxfId="7" priority="8" operator="equal">
      <formula>FALSE</formula>
    </cfRule>
  </conditionalFormatting>
  <conditionalFormatting sqref="F10">
    <cfRule type="cellIs" dxfId="6" priority="7" operator="equal">
      <formula>FALSE</formula>
    </cfRule>
  </conditionalFormatting>
  <conditionalFormatting sqref="F11">
    <cfRule type="cellIs" dxfId="5" priority="6" operator="equal">
      <formula>FALSE</formula>
    </cfRule>
  </conditionalFormatting>
  <conditionalFormatting sqref="F20">
    <cfRule type="cellIs" dxfId="4" priority="5" operator="equal">
      <formula>FALSE</formula>
    </cfRule>
  </conditionalFormatting>
  <conditionalFormatting sqref="F15">
    <cfRule type="cellIs" dxfId="3" priority="4" operator="equal">
      <formula>FALSE</formula>
    </cfRule>
  </conditionalFormatting>
  <conditionalFormatting sqref="F14">
    <cfRule type="cellIs" dxfId="2" priority="3" operator="equal">
      <formula>FALSE</formula>
    </cfRule>
  </conditionalFormatting>
  <conditionalFormatting sqref="F16">
    <cfRule type="cellIs" dxfId="1" priority="2" operator="equal">
      <formula>FALSE</formula>
    </cfRule>
  </conditionalFormatting>
  <conditionalFormatting sqref="F13">
    <cfRule type="cellIs" dxfId="0" priority="1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A2" sqref="A2:E23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43" t="s">
        <v>27</v>
      </c>
      <c r="B2" s="49"/>
      <c r="C2" s="49"/>
      <c r="D2" s="49"/>
      <c r="E2" s="49"/>
    </row>
    <row r="3" spans="1:12" x14ac:dyDescent="0.25">
      <c r="A3" s="43" t="s">
        <v>26</v>
      </c>
      <c r="B3" s="49"/>
      <c r="C3" s="49"/>
      <c r="D3" s="49"/>
      <c r="E3" s="49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tr">
        <f>TARBIYAH!B6</f>
        <v>: FEBRUARI 2026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4" t="s">
        <v>19</v>
      </c>
      <c r="B8" s="44" t="s">
        <v>0</v>
      </c>
      <c r="C8" s="51" t="s">
        <v>3</v>
      </c>
      <c r="D8" s="52"/>
      <c r="E8" s="44" t="s">
        <v>4</v>
      </c>
    </row>
    <row r="9" spans="1:12" ht="19.149999999999999" customHeight="1" x14ac:dyDescent="0.25">
      <c r="A9" s="50"/>
      <c r="B9" s="50"/>
      <c r="C9" s="26">
        <v>1</v>
      </c>
      <c r="D9" s="26">
        <v>2</v>
      </c>
      <c r="E9" s="50"/>
    </row>
    <row r="10" spans="1:12" ht="19.149999999999999" customHeight="1" x14ac:dyDescent="0.25">
      <c r="A10" s="12">
        <v>1</v>
      </c>
      <c r="B10" s="32" t="s">
        <v>8</v>
      </c>
      <c r="C10" s="28" t="b">
        <v>0</v>
      </c>
      <c r="D10" s="28" t="b">
        <v>1</v>
      </c>
      <c r="E10" s="27"/>
      <c r="G10" s="29" t="s">
        <v>28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31</v>
      </c>
      <c r="C11" s="28" t="b">
        <v>0</v>
      </c>
      <c r="D11" s="28" t="b">
        <v>1</v>
      </c>
      <c r="E11" s="27"/>
      <c r="G11" s="29" t="s">
        <v>29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0</v>
      </c>
      <c r="D12" s="28" t="b">
        <v>0</v>
      </c>
      <c r="E12" s="27"/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/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/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/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0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/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/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1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0</v>
      </c>
      <c r="D20" s="28" t="b">
        <v>0</v>
      </c>
      <c r="E20" s="27"/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/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0</v>
      </c>
      <c r="D22" s="20">
        <f>SUM(COUNTIF(D10:D21,TRUE))</f>
        <v>3</v>
      </c>
      <c r="E22" s="19"/>
    </row>
    <row r="23" spans="1:5" ht="19.149999999999999" customHeight="1" x14ac:dyDescent="0.25">
      <c r="A23" s="19"/>
      <c r="B23" s="25" t="s">
        <v>25</v>
      </c>
      <c r="C23" s="34">
        <f>C22/$A$21*100</f>
        <v>0</v>
      </c>
      <c r="D23" s="34">
        <f>D22/$A$21*100</f>
        <v>25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10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123</cp:lastModifiedBy>
  <dcterms:created xsi:type="dcterms:W3CDTF">2023-06-07T15:38:34Z</dcterms:created>
  <dcterms:modified xsi:type="dcterms:W3CDTF">2026-03-10T08:24:57Z</dcterms:modified>
</cp:coreProperties>
</file>