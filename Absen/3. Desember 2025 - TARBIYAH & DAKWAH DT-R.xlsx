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engajian\Absen\"/>
    </mc:Choice>
  </mc:AlternateContent>
  <xr:revisionPtr revIDLastSave="0" documentId="13_ncr:1_{782BB6EA-69BB-4836-93F8-0F678624D599}" xr6:coauthVersionLast="47" xr6:coauthVersionMax="47" xr10:uidLastSave="{00000000-0000-0000-0000-000000000000}"/>
  <bookViews>
    <workbookView xWindow="-120" yWindow="-120" windowWidth="38640" windowHeight="21240" xr2:uid="{2E39FF77-035B-4F7C-ACEB-1A442C392774}"/>
  </bookViews>
  <sheets>
    <sheet name="TARBIYAH" sheetId="2" r:id="rId1"/>
    <sheet name="DAKWAH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2" l="1"/>
  <c r="G20" i="2"/>
  <c r="G19" i="2"/>
  <c r="G18" i="2"/>
  <c r="G17" i="2"/>
  <c r="G16" i="2"/>
  <c r="G15" i="2"/>
  <c r="G14" i="2"/>
  <c r="G13" i="2"/>
  <c r="G12" i="2"/>
  <c r="G11" i="2"/>
  <c r="G10" i="2"/>
  <c r="D21" i="2"/>
  <c r="D20" i="2"/>
  <c r="D19" i="2"/>
  <c r="D18" i="2"/>
  <c r="D17" i="2"/>
  <c r="D16" i="2"/>
  <c r="D15" i="2"/>
  <c r="D14" i="2"/>
  <c r="D13" i="2"/>
  <c r="D12" i="2"/>
  <c r="D11" i="2"/>
  <c r="D10" i="2"/>
  <c r="D22" i="2" s="1"/>
  <c r="D23" i="2" s="1"/>
  <c r="P14" i="2"/>
  <c r="P12" i="2"/>
  <c r="B6" i="3"/>
  <c r="P21" i="2"/>
  <c r="P20" i="2"/>
  <c r="P19" i="2"/>
  <c r="P18" i="2"/>
  <c r="P17" i="2"/>
  <c r="P16" i="2"/>
  <c r="P15" i="2"/>
  <c r="P13" i="2"/>
  <c r="P11" i="2"/>
  <c r="D22" i="3"/>
  <c r="D23" i="3" s="1"/>
  <c r="C22" i="3"/>
  <c r="C23" i="3" s="1"/>
  <c r="F22" i="2"/>
  <c r="F23" i="2" s="1"/>
  <c r="C22" i="2"/>
  <c r="C23" i="2" s="1"/>
  <c r="G22" i="2" l="1"/>
  <c r="G23" i="2" s="1"/>
</calcChain>
</file>

<file path=xl/sharedStrings.xml><?xml version="1.0" encoding="utf-8"?>
<sst xmlns="http://schemas.openxmlformats.org/spreadsheetml/2006/main" count="93" uniqueCount="66">
  <si>
    <t>NAMA</t>
  </si>
  <si>
    <t>H</t>
  </si>
  <si>
    <t>D</t>
  </si>
  <si>
    <t>DAKWAH</t>
  </si>
  <si>
    <t>KETERANGAN</t>
  </si>
  <si>
    <t>TOTAL</t>
  </si>
  <si>
    <t>PERT-1</t>
  </si>
  <si>
    <t>PERT-2</t>
  </si>
  <si>
    <t>Muhammad Zaini</t>
  </si>
  <si>
    <t xml:space="preserve">Syarifudin AZ </t>
  </si>
  <si>
    <t>Aswan</t>
  </si>
  <si>
    <t>Danik</t>
  </si>
  <si>
    <t>Muhammad Syah</t>
  </si>
  <si>
    <t>Firman</t>
  </si>
  <si>
    <t>Suhud</t>
  </si>
  <si>
    <t>Salman Al Farisi</t>
  </si>
  <si>
    <t>Sakur</t>
  </si>
  <si>
    <t>Wahab Abdullah</t>
  </si>
  <si>
    <t>Reza Saputra</t>
  </si>
  <si>
    <t>NO</t>
  </si>
  <si>
    <t>MT</t>
  </si>
  <si>
    <t>BULAN</t>
  </si>
  <si>
    <t>: DT-R</t>
  </si>
  <si>
    <t>HADIR</t>
  </si>
  <si>
    <t>DISPLIN</t>
  </si>
  <si>
    <t>PERSENTASE %</t>
  </si>
  <si>
    <t>MAJELIS TA'LIM YAYASAN DAARUT THOYYIBAH SAMARINDA</t>
  </si>
  <si>
    <t>ABSENSI KEGIATAN DAKWAH</t>
  </si>
  <si>
    <t>CATATAN :</t>
  </si>
  <si>
    <t xml:space="preserve">1 kali menghadiri kajian dakwah sudah dianggap Baik </t>
  </si>
  <si>
    <t>ABSENSI TARBIYAH</t>
  </si>
  <si>
    <t>Abdul Latip</t>
  </si>
  <si>
    <t>6282123226368</t>
  </si>
  <si>
    <t>6282350645281</t>
  </si>
  <si>
    <t>6282320040021</t>
  </si>
  <si>
    <t>6281350170682</t>
  </si>
  <si>
    <t>6281347471525</t>
  </si>
  <si>
    <t>6285255990709</t>
  </si>
  <si>
    <t>6282124386879</t>
  </si>
  <si>
    <t>6282354144365</t>
  </si>
  <si>
    <t>6285250888733</t>
  </si>
  <si>
    <t>6281220142015</t>
  </si>
  <si>
    <t>6282229432434</t>
  </si>
  <si>
    <t>Latip</t>
  </si>
  <si>
    <t>Pak Udin</t>
  </si>
  <si>
    <t>Mas Aswan</t>
  </si>
  <si>
    <t>Pak Danik</t>
  </si>
  <si>
    <t>Pak Mamat</t>
  </si>
  <si>
    <t>Mas Firman</t>
  </si>
  <si>
    <t>Mas Suhud</t>
  </si>
  <si>
    <t>Mas Salman</t>
  </si>
  <si>
    <t>Mas Reza</t>
  </si>
  <si>
    <t>Pak Syakur</t>
  </si>
  <si>
    <t>Mas Wahap</t>
  </si>
  <si>
    <t>Nama</t>
  </si>
  <si>
    <t>Nomor WA</t>
  </si>
  <si>
    <t>Teks WA 1</t>
  </si>
  <si>
    <t>Teks WA 2</t>
  </si>
  <si>
    <t>Assalamualaikum [nama]
Saya mau minta keterangannya untuk ketidakhadiran pengajian tanggal [tanggal]
Terima kasih…</t>
  </si>
  <si>
    <t>Assalamualaikum [nama]
Saya mau minta keterangannya untuk ketidakhadiran pengajian tanggal [tanggal_1] dan tanggal [tanggal_2]
Terima kasih…</t>
  </si>
  <si>
    <t>Masih di kantor</t>
  </si>
  <si>
    <t>: DESEMBER 2025</t>
  </si>
  <si>
    <t>12 Desember 2025</t>
  </si>
  <si>
    <t>19 Desember 2025</t>
  </si>
  <si>
    <t>Kecapekan</t>
  </si>
  <si>
    <t>Kurang sehat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</si>
</sst>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&quot;%&quot;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" fontId="6" fillId="0" borderId="0" xfId="0" applyNumberFormat="1" applyFont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8" borderId="0" xfId="0" applyFont="1" applyFill="1"/>
    <xf numFmtId="0" fontId="1" fillId="8" borderId="0" xfId="0" applyFont="1" applyFill="1"/>
    <xf numFmtId="0" fontId="10" fillId="0" borderId="6" xfId="0" applyFont="1" applyBorder="1"/>
    <xf numFmtId="0" fontId="10" fillId="0" borderId="6" xfId="0" applyFont="1" applyBorder="1" applyAlignment="1">
      <alignment vertical="center"/>
    </xf>
    <xf numFmtId="165" fontId="6" fillId="4" borderId="6" xfId="0" applyNumberFormat="1" applyFont="1" applyFill="1" applyBorder="1" applyAlignment="1">
      <alignment horizontal="center" vertical="center"/>
    </xf>
    <xf numFmtId="165" fontId="6" fillId="7" borderId="6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7" fillId="0" borderId="0" xfId="0" quotePrefix="1" applyFont="1"/>
    <xf numFmtId="0" fontId="7" fillId="0" borderId="0" xfId="0" quotePrefix="1" applyFont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/>
    </xf>
    <xf numFmtId="164" fontId="6" fillId="5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AA0CF-06E4-471A-8CAA-E0E3D0553E02}" name="Table1" displayName="Table1" ref="M10:N21" totalsRowShown="0" headerRowDxfId="18">
  <autoFilter ref="M10:N21" xr:uid="{50CAA0CF-06E4-471A-8CAA-E0E3D0553E02}"/>
  <tableColumns count="2">
    <tableColumn id="1" xr3:uid="{7BD02032-E365-49A8-ADAB-44D6FB3AFCD1}" name="Nama" dataDxfId="17"/>
    <tableColumn id="2" xr3:uid="{41948D79-27FC-4502-92CC-571E48B0487D}" name="Nomor WA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7F338-C63F-40E2-80FF-0AC823156E9D}" name="Table2" displayName="Table2" ref="P26:Q27" totalsRowShown="0" headerRowDxfId="15" dataDxfId="14">
  <autoFilter ref="P26:Q27" xr:uid="{11B7F338-C63F-40E2-80FF-0AC823156E9D}"/>
  <tableColumns count="2">
    <tableColumn id="1" xr3:uid="{84005749-F834-45CA-94CD-2EDD5B1E1F63}" name="Teks WA 1" dataDxfId="13"/>
    <tableColumn id="2" xr3:uid="{29720DB4-DB3A-41BE-9B35-9301A3705ADA}" name="Teks WA 2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9B0-ED58-4F36-B86D-4E3B2DB69ED5}">
  <sheetPr>
    <tabColor theme="9"/>
  </sheetPr>
  <dimension ref="A1:Q27"/>
  <sheetViews>
    <sheetView tabSelected="1" zoomScaleNormal="100" workbookViewId="0">
      <selection activeCell="P17" sqref="P17"/>
    </sheetView>
  </sheetViews>
  <sheetFormatPr defaultColWidth="8.85546875" defaultRowHeight="15.75" x14ac:dyDescent="0.25"/>
  <cols>
    <col min="1" max="1" width="8.7109375" style="13" customWidth="1"/>
    <col min="2" max="2" width="26.7109375" style="13" customWidth="1"/>
    <col min="3" max="4" width="7.5703125" style="13" bestFit="1" customWidth="1"/>
    <col min="5" max="5" width="20.85546875" style="13" customWidth="1"/>
    <col min="6" max="7" width="7.5703125" style="14" bestFit="1" customWidth="1"/>
    <col min="8" max="8" width="22.5703125" style="13" bestFit="1" customWidth="1"/>
    <col min="9" max="9" width="8.85546875" style="1"/>
    <col min="10" max="10" width="6" style="1" customWidth="1"/>
    <col min="11" max="12" width="9.85546875" style="1" customWidth="1"/>
    <col min="13" max="13" width="12.42578125" style="1" bestFit="1" customWidth="1"/>
    <col min="14" max="14" width="16" style="1" bestFit="1" customWidth="1"/>
    <col min="15" max="15" width="8.85546875" style="1"/>
    <col min="16" max="17" width="52.140625" style="1" customWidth="1"/>
    <col min="18" max="16384" width="8.85546875" style="1"/>
  </cols>
  <sheetData>
    <row r="1" spans="1:16" s="3" customFormat="1" ht="22.15" customHeight="1" x14ac:dyDescent="0.25">
      <c r="A1" s="43" t="s">
        <v>30</v>
      </c>
      <c r="B1" s="43"/>
      <c r="C1" s="43"/>
      <c r="D1" s="43"/>
      <c r="E1" s="43"/>
      <c r="F1" s="43"/>
      <c r="G1" s="43"/>
      <c r="H1" s="43"/>
    </row>
    <row r="2" spans="1:16" s="3" customFormat="1" ht="22.15" customHeight="1" x14ac:dyDescent="0.25">
      <c r="A2" s="43" t="s">
        <v>26</v>
      </c>
      <c r="B2" s="43"/>
      <c r="C2" s="43"/>
      <c r="D2" s="43"/>
      <c r="E2" s="43"/>
      <c r="F2" s="43"/>
      <c r="G2" s="43"/>
      <c r="H2" s="43"/>
    </row>
    <row r="3" spans="1:16" s="3" customFormat="1" x14ac:dyDescent="0.25">
      <c r="A3" s="43"/>
      <c r="B3" s="43"/>
      <c r="C3" s="43"/>
      <c r="D3" s="43"/>
      <c r="E3" s="43"/>
      <c r="F3" s="43"/>
      <c r="G3" s="43"/>
      <c r="H3" s="43"/>
    </row>
    <row r="4" spans="1:16" s="3" customFormat="1" x14ac:dyDescent="0.25">
      <c r="A4" s="17"/>
      <c r="B4" s="17"/>
      <c r="C4" s="17"/>
      <c r="D4" s="17"/>
      <c r="E4" s="17"/>
      <c r="F4" s="17"/>
      <c r="G4" s="17"/>
      <c r="H4" s="17"/>
    </row>
    <row r="5" spans="1:16" s="4" customFormat="1" x14ac:dyDescent="0.25">
      <c r="A5" s="7" t="s">
        <v>20</v>
      </c>
      <c r="B5" s="7" t="s">
        <v>22</v>
      </c>
      <c r="C5" s="7"/>
      <c r="D5" s="7"/>
      <c r="E5" s="7"/>
      <c r="F5" s="48"/>
      <c r="G5" s="48"/>
      <c r="H5" s="8"/>
    </row>
    <row r="6" spans="1:16" s="4" customFormat="1" x14ac:dyDescent="0.25">
      <c r="A6" s="7" t="s">
        <v>21</v>
      </c>
      <c r="B6" s="7" t="s">
        <v>61</v>
      </c>
      <c r="C6" s="7"/>
      <c r="D6" s="7"/>
      <c r="E6" s="7"/>
      <c r="F6" s="16"/>
      <c r="G6" s="16"/>
      <c r="H6" s="8"/>
    </row>
    <row r="7" spans="1:16" s="4" customFormat="1" x14ac:dyDescent="0.25">
      <c r="A7" s="7"/>
      <c r="B7" s="7"/>
      <c r="C7" s="7"/>
      <c r="D7" s="7"/>
      <c r="E7" s="7"/>
      <c r="F7" s="15"/>
      <c r="G7" s="15"/>
      <c r="H7" s="8"/>
    </row>
    <row r="8" spans="1:16" s="3" customFormat="1" ht="18.600000000000001" customHeight="1" x14ac:dyDescent="0.25">
      <c r="A8" s="44" t="s">
        <v>19</v>
      </c>
      <c r="B8" s="44" t="s">
        <v>0</v>
      </c>
      <c r="C8" s="46" t="s">
        <v>6</v>
      </c>
      <c r="D8" s="47"/>
      <c r="E8" s="44" t="s">
        <v>4</v>
      </c>
      <c r="F8" s="46" t="s">
        <v>7</v>
      </c>
      <c r="G8" s="47"/>
      <c r="H8" s="44" t="s">
        <v>4</v>
      </c>
    </row>
    <row r="9" spans="1:16" s="3" customFormat="1" x14ac:dyDescent="0.25">
      <c r="A9" s="45"/>
      <c r="B9" s="45"/>
      <c r="C9" s="22" t="s">
        <v>1</v>
      </c>
      <c r="D9" s="22" t="s">
        <v>2</v>
      </c>
      <c r="E9" s="45"/>
      <c r="F9" s="22" t="s">
        <v>1</v>
      </c>
      <c r="G9" s="22" t="s">
        <v>2</v>
      </c>
      <c r="H9" s="45"/>
    </row>
    <row r="10" spans="1:16" x14ac:dyDescent="0.25">
      <c r="A10" s="9">
        <v>1</v>
      </c>
      <c r="B10" s="31" t="s">
        <v>8</v>
      </c>
      <c r="C10" s="18" t="b">
        <v>1</v>
      </c>
      <c r="D10" s="18" t="b">
        <f>C10</f>
        <v>1</v>
      </c>
      <c r="E10" s="10"/>
      <c r="F10" s="18" t="b">
        <v>1</v>
      </c>
      <c r="G10" s="18" t="b">
        <f>F10</f>
        <v>1</v>
      </c>
      <c r="H10" s="11"/>
      <c r="J10" s="41" t="s">
        <v>4</v>
      </c>
      <c r="K10" s="42"/>
      <c r="L10" s="3"/>
      <c r="M10" s="1" t="s">
        <v>54</v>
      </c>
      <c r="N10" s="1" t="s">
        <v>55</v>
      </c>
    </row>
    <row r="11" spans="1:16" x14ac:dyDescent="0.25">
      <c r="A11" s="9">
        <v>2</v>
      </c>
      <c r="B11" s="31" t="s">
        <v>31</v>
      </c>
      <c r="C11" s="18" t="b">
        <v>1</v>
      </c>
      <c r="D11" s="18" t="b">
        <f t="shared" ref="D11:D21" si="0">C11</f>
        <v>1</v>
      </c>
      <c r="E11" s="10"/>
      <c r="F11" s="18" t="b">
        <v>1</v>
      </c>
      <c r="G11" s="18" t="b">
        <f t="shared" ref="G11:G21" si="1">F11</f>
        <v>1</v>
      </c>
      <c r="H11" s="10"/>
      <c r="J11" s="23" t="s">
        <v>1</v>
      </c>
      <c r="K11" s="23" t="s">
        <v>23</v>
      </c>
      <c r="L11" s="3"/>
      <c r="M11" s="1" t="s">
        <v>43</v>
      </c>
      <c r="N11" s="35" t="s">
        <v>32</v>
      </c>
      <c r="P11" s="1" t="str">
        <f>IF(AND(C11=FALSE,E11="",F11=FALSE,H11=""),"https://wa.me/"&amp;N11&amp;"?text="&amp;_xlfn.ENCODEURL(SUBSTITUTE(SUBSTITUTE(SUBSTITUTE($Q$27,"[nama]",M11),"[tanggal_1]",TEXT($C$25,"dd mmmm yyyy")),"[tanggal_2]",TEXT($F$25,"dd mmmm yyyy"))),IF(AND(C11=FALSE,E11=""),"https://wa.me/"&amp;N11&amp;"?text="&amp;_xlfn.ENCODEURL(SUBSTITUTE(SUBSTITUTE($P$27,"[nama]",M11),"[tanggal]",TEXT($C$25,"dd mmmm yyyy"))),IF(AND(F11=FALSE,H11=""),"https://wa.me/"&amp;N11&amp;"?text="&amp;_xlfn.ENCODEURL(SUBSTITUTE(SUBSTITUTE($P$27,"[nama]",M11),"[tanggal]",TEXT($F$25,"dd mmmm yyyy"))),"")))</f>
        <v/>
      </c>
    </row>
    <row r="12" spans="1:16" x14ac:dyDescent="0.25">
      <c r="A12" s="9">
        <v>3</v>
      </c>
      <c r="B12" s="10" t="s">
        <v>9</v>
      </c>
      <c r="C12" s="18" t="b">
        <v>1</v>
      </c>
      <c r="D12" s="18" t="b">
        <f t="shared" si="0"/>
        <v>1</v>
      </c>
      <c r="E12" s="10"/>
      <c r="F12" s="18" t="b">
        <v>1</v>
      </c>
      <c r="G12" s="18" t="b">
        <f t="shared" si="1"/>
        <v>1</v>
      </c>
      <c r="H12" s="11"/>
      <c r="J12" s="23" t="s">
        <v>2</v>
      </c>
      <c r="K12" s="23" t="s">
        <v>24</v>
      </c>
      <c r="L12" s="3"/>
      <c r="M12" s="1" t="s">
        <v>44</v>
      </c>
      <c r="N12" s="35" t="s">
        <v>33</v>
      </c>
      <c r="P12" s="1" t="str">
        <f t="shared" ref="P12:P21" si="2">IF(AND(C12=FALSE,E12="",F12=FALSE,H12=""),"https://wa.me/"&amp;N12&amp;"?text="&amp;_xlfn.ENCODEURL(SUBSTITUTE(SUBSTITUTE(SUBSTITUTE($Q$27,"[nama]",M12),"[tanggal_1]",TEXT($C$25,"dd mmmm yyyy")),"[tanggal_2]",TEXT($F$25,"dd mmmm yyyy"))),IF(AND(C12=FALSE,E12=""),"https://wa.me/"&amp;N12&amp;"?text="&amp;_xlfn.ENCODEURL(SUBSTITUTE(SUBSTITUTE($P$27,"[nama]",M12),"[tanggal]",TEXT($C$25,"dd mmmm yyyy"))),IF(AND(F12=FALSE,H12=""),"https://wa.me/"&amp;N12&amp;"?text="&amp;_xlfn.ENCODEURL(SUBSTITUTE(SUBSTITUTE($P$27,"[nama]",M12),"[tanggal]",TEXT($F$25,"dd mmmm yyyy"))),"")))</f>
        <v/>
      </c>
    </row>
    <row r="13" spans="1:16" x14ac:dyDescent="0.25">
      <c r="A13" s="9">
        <v>4</v>
      </c>
      <c r="B13" s="10" t="s">
        <v>10</v>
      </c>
      <c r="C13" s="18" t="b">
        <v>1</v>
      </c>
      <c r="D13" s="18" t="b">
        <f t="shared" si="0"/>
        <v>1</v>
      </c>
      <c r="E13" s="10"/>
      <c r="F13" s="18" t="b">
        <v>1</v>
      </c>
      <c r="G13" s="18" t="b">
        <f t="shared" si="1"/>
        <v>1</v>
      </c>
      <c r="H13" s="11"/>
      <c r="L13" s="3"/>
      <c r="M13" s="1" t="s">
        <v>45</v>
      </c>
      <c r="N13" s="35" t="s">
        <v>34</v>
      </c>
      <c r="P13" s="1" t="str">
        <f t="shared" si="2"/>
        <v/>
      </c>
    </row>
    <row r="14" spans="1:16" x14ac:dyDescent="0.25">
      <c r="A14" s="9">
        <v>5</v>
      </c>
      <c r="B14" s="10" t="s">
        <v>11</v>
      </c>
      <c r="C14" s="18" t="b">
        <v>1</v>
      </c>
      <c r="D14" s="18" t="b">
        <f t="shared" si="0"/>
        <v>1</v>
      </c>
      <c r="E14" s="10"/>
      <c r="F14" s="18" t="b">
        <v>1</v>
      </c>
      <c r="G14" s="18" t="b">
        <f t="shared" si="1"/>
        <v>1</v>
      </c>
      <c r="H14" s="10"/>
      <c r="M14" s="1" t="s">
        <v>46</v>
      </c>
      <c r="N14" s="35" t="s">
        <v>35</v>
      </c>
      <c r="P14" s="1" t="str">
        <f t="shared" si="2"/>
        <v/>
      </c>
    </row>
    <row r="15" spans="1:16" x14ac:dyDescent="0.25">
      <c r="A15" s="9">
        <v>6</v>
      </c>
      <c r="B15" s="10" t="s">
        <v>12</v>
      </c>
      <c r="C15" s="18" t="b">
        <v>1</v>
      </c>
      <c r="D15" s="18" t="b">
        <f t="shared" si="0"/>
        <v>1</v>
      </c>
      <c r="E15" s="10"/>
      <c r="F15" s="18" t="b">
        <v>0</v>
      </c>
      <c r="G15" s="18" t="b">
        <f t="shared" si="1"/>
        <v>0</v>
      </c>
      <c r="H15" s="10" t="s">
        <v>60</v>
      </c>
      <c r="M15" s="1" t="s">
        <v>47</v>
      </c>
      <c r="N15" s="35" t="s">
        <v>36</v>
      </c>
      <c r="P15" s="1" t="str">
        <f t="shared" si="2"/>
        <v/>
      </c>
    </row>
    <row r="16" spans="1:16" x14ac:dyDescent="0.25">
      <c r="A16" s="9">
        <v>7</v>
      </c>
      <c r="B16" s="10" t="s">
        <v>13</v>
      </c>
      <c r="C16" s="18" t="b">
        <v>1</v>
      </c>
      <c r="D16" s="18" t="b">
        <f t="shared" si="0"/>
        <v>1</v>
      </c>
      <c r="E16" s="10"/>
      <c r="F16" s="18" t="b">
        <v>1</v>
      </c>
      <c r="G16" s="18" t="b">
        <f t="shared" si="1"/>
        <v>1</v>
      </c>
      <c r="H16" s="11"/>
      <c r="M16" s="1" t="s">
        <v>48</v>
      </c>
      <c r="N16" s="35" t="s">
        <v>37</v>
      </c>
      <c r="P16" s="1" t="str">
        <f t="shared" si="2"/>
        <v/>
      </c>
    </row>
    <row r="17" spans="1:17" x14ac:dyDescent="0.25">
      <c r="A17" s="9">
        <v>8</v>
      </c>
      <c r="B17" s="10" t="s">
        <v>14</v>
      </c>
      <c r="C17" s="18" t="b">
        <v>0</v>
      </c>
      <c r="D17" s="18" t="b">
        <f t="shared" si="0"/>
        <v>0</v>
      </c>
      <c r="E17" s="10"/>
      <c r="F17" s="18" t="b">
        <v>0</v>
      </c>
      <c r="G17" s="18" t="b">
        <f t="shared" si="1"/>
        <v>0</v>
      </c>
      <c r="H17" s="10"/>
      <c r="M17" s="1" t="s">
        <v>49</v>
      </c>
      <c r="N17" s="35" t="s">
        <v>38</v>
      </c>
      <c r="P17" s="1" t="str">
        <f t="shared" si="2"/>
        <v>https://wa.me/6282124386879?text=Assalamualaikum%20Mas%20Suhud%0A%0ASaya%20mau%20minta%20keterangannya%20untuk%20ketidakhadiran%20pengajian%20tanggal%2012%20Desember%202025%20dan%20tanggal%2019%20Desember%202025%0A%0ATerima%20kasih%E2%80%A6</v>
      </c>
    </row>
    <row r="18" spans="1:17" x14ac:dyDescent="0.25">
      <c r="A18" s="9">
        <v>9</v>
      </c>
      <c r="B18" s="10" t="s">
        <v>15</v>
      </c>
      <c r="C18" s="18" t="b">
        <v>1</v>
      </c>
      <c r="D18" s="18" t="b">
        <f t="shared" si="0"/>
        <v>1</v>
      </c>
      <c r="E18" s="10"/>
      <c r="F18" s="18" t="b">
        <v>1</v>
      </c>
      <c r="G18" s="18" t="b">
        <f t="shared" si="1"/>
        <v>1</v>
      </c>
      <c r="H18" s="10"/>
      <c r="M18" s="1" t="s">
        <v>50</v>
      </c>
      <c r="N18" s="35" t="s">
        <v>39</v>
      </c>
      <c r="P18" s="1" t="str">
        <f t="shared" si="2"/>
        <v/>
      </c>
    </row>
    <row r="19" spans="1:17" x14ac:dyDescent="0.25">
      <c r="A19" s="9">
        <v>10</v>
      </c>
      <c r="B19" s="10" t="s">
        <v>18</v>
      </c>
      <c r="C19" s="18" t="b">
        <v>1</v>
      </c>
      <c r="D19" s="18" t="b">
        <f t="shared" si="0"/>
        <v>1</v>
      </c>
      <c r="E19" s="10"/>
      <c r="F19" s="18" t="b">
        <v>1</v>
      </c>
      <c r="G19" s="18" t="b">
        <f t="shared" si="1"/>
        <v>1</v>
      </c>
      <c r="H19" s="11"/>
      <c r="M19" s="1" t="s">
        <v>51</v>
      </c>
      <c r="N19" s="35" t="s">
        <v>40</v>
      </c>
      <c r="P19" s="1" t="str">
        <f t="shared" si="2"/>
        <v/>
      </c>
    </row>
    <row r="20" spans="1:17" x14ac:dyDescent="0.25">
      <c r="A20" s="9">
        <v>11</v>
      </c>
      <c r="B20" s="10" t="s">
        <v>16</v>
      </c>
      <c r="C20" s="18" t="b">
        <v>1</v>
      </c>
      <c r="D20" s="18" t="b">
        <f t="shared" si="0"/>
        <v>1</v>
      </c>
      <c r="E20" s="10"/>
      <c r="F20" s="18" t="b">
        <v>0</v>
      </c>
      <c r="G20" s="18" t="b">
        <f t="shared" si="1"/>
        <v>0</v>
      </c>
      <c r="H20" s="11" t="s">
        <v>64</v>
      </c>
      <c r="M20" s="1" t="s">
        <v>52</v>
      </c>
      <c r="N20" s="35" t="s">
        <v>41</v>
      </c>
      <c r="P20" s="1" t="str">
        <f t="shared" si="2"/>
        <v/>
      </c>
    </row>
    <row r="21" spans="1:17" x14ac:dyDescent="0.25">
      <c r="A21" s="9">
        <v>12</v>
      </c>
      <c r="B21" s="10" t="s">
        <v>17</v>
      </c>
      <c r="C21" s="18" t="b">
        <v>1</v>
      </c>
      <c r="D21" s="18" t="b">
        <f t="shared" si="0"/>
        <v>1</v>
      </c>
      <c r="E21" s="10"/>
      <c r="F21" s="18" t="b">
        <v>0</v>
      </c>
      <c r="G21" s="18" t="b">
        <f t="shared" si="1"/>
        <v>0</v>
      </c>
      <c r="H21" s="10" t="s">
        <v>65</v>
      </c>
      <c r="M21" s="1" t="s">
        <v>53</v>
      </c>
      <c r="N21" s="35" t="s">
        <v>42</v>
      </c>
      <c r="P21" s="1" t="str">
        <f t="shared" si="2"/>
        <v/>
      </c>
    </row>
    <row r="22" spans="1:17" s="2" customFormat="1" x14ac:dyDescent="0.25">
      <c r="A22" s="39"/>
      <c r="B22" s="20" t="s">
        <v>5</v>
      </c>
      <c r="C22" s="20">
        <f>SUM(COUNTIF(C10:C21,TRUE))</f>
        <v>11</v>
      </c>
      <c r="D22" s="20">
        <f>SUM(COUNTIF(D10:D21,TRUE))</f>
        <v>11</v>
      </c>
      <c r="E22" s="19"/>
      <c r="F22" s="20">
        <f t="shared" ref="F22:G22" si="3">SUM(COUNTIF(F10:F21,TRUE))</f>
        <v>8</v>
      </c>
      <c r="G22" s="20">
        <f t="shared" si="3"/>
        <v>8</v>
      </c>
      <c r="H22" s="19"/>
    </row>
    <row r="23" spans="1:17" x14ac:dyDescent="0.25">
      <c r="A23" s="40"/>
      <c r="B23" s="21" t="s">
        <v>25</v>
      </c>
      <c r="C23" s="33">
        <f>C22/$A$21*100</f>
        <v>91.666666666666657</v>
      </c>
      <c r="D23" s="33">
        <f>D22/$A$21*100</f>
        <v>91.666666666666657</v>
      </c>
      <c r="E23" s="19"/>
      <c r="F23" s="33">
        <f>F22/$A$21*100</f>
        <v>66.666666666666657</v>
      </c>
      <c r="G23" s="33">
        <f>G22/$A$21*100</f>
        <v>66.666666666666657</v>
      </c>
      <c r="H23" s="19"/>
    </row>
    <row r="25" spans="1:17" x14ac:dyDescent="0.25">
      <c r="C25" s="37" t="s">
        <v>62</v>
      </c>
      <c r="F25" s="38" t="s">
        <v>63</v>
      </c>
    </row>
    <row r="26" spans="1:17" x14ac:dyDescent="0.25">
      <c r="P26" s="1" t="s">
        <v>56</v>
      </c>
      <c r="Q26" s="1" t="s">
        <v>57</v>
      </c>
    </row>
    <row r="27" spans="1:17" ht="110.25" x14ac:dyDescent="0.25">
      <c r="P27" s="36" t="s">
        <v>58</v>
      </c>
      <c r="Q27" s="36" t="s">
        <v>59</v>
      </c>
    </row>
  </sheetData>
  <mergeCells count="12">
    <mergeCell ref="A22:A23"/>
    <mergeCell ref="J10:K10"/>
    <mergeCell ref="A1:H1"/>
    <mergeCell ref="A2:H2"/>
    <mergeCell ref="A3:H3"/>
    <mergeCell ref="A8:A9"/>
    <mergeCell ref="B8:B9"/>
    <mergeCell ref="C8:D8"/>
    <mergeCell ref="E8:E9"/>
    <mergeCell ref="F8:G8"/>
    <mergeCell ref="H8:H9"/>
    <mergeCell ref="F5:G5"/>
  </mergeCells>
  <conditionalFormatting sqref="C10:D21">
    <cfRule type="cellIs" dxfId="11" priority="21" operator="equal">
      <formula>FALSE</formula>
    </cfRule>
  </conditionalFormatting>
  <conditionalFormatting sqref="F15:G15 F20:G21 F17:G17 G16 G10:G14 G18:G19">
    <cfRule type="cellIs" dxfId="8" priority="9" operator="equal">
      <formula>FALSE</formula>
    </cfRule>
  </conditionalFormatting>
  <conditionalFormatting sqref="F14">
    <cfRule type="cellIs" dxfId="7" priority="8" operator="equal">
      <formula>FALSE</formula>
    </cfRule>
  </conditionalFormatting>
  <conditionalFormatting sqref="F19">
    <cfRule type="cellIs" dxfId="6" priority="7" operator="equal">
      <formula>FALSE</formula>
    </cfRule>
  </conditionalFormatting>
  <conditionalFormatting sqref="F11">
    <cfRule type="cellIs" dxfId="5" priority="6" operator="equal">
      <formula>FALSE</formula>
    </cfRule>
  </conditionalFormatting>
  <conditionalFormatting sqref="F10">
    <cfRule type="cellIs" dxfId="4" priority="5" operator="equal">
      <formula>FALSE</formula>
    </cfRule>
  </conditionalFormatting>
  <conditionalFormatting sqref="F16">
    <cfRule type="cellIs" dxfId="3" priority="4" operator="equal">
      <formula>FALSE</formula>
    </cfRule>
  </conditionalFormatting>
  <conditionalFormatting sqref="F12">
    <cfRule type="cellIs" dxfId="2" priority="3" operator="equal">
      <formula>FALSE</formula>
    </cfRule>
  </conditionalFormatting>
  <conditionalFormatting sqref="F13">
    <cfRule type="cellIs" dxfId="1" priority="2" operator="equal">
      <formula>FALSE</formula>
    </cfRule>
  </conditionalFormatting>
  <conditionalFormatting sqref="F18">
    <cfRule type="cellIs" dxfId="0" priority="1" operator="equal">
      <formula>FALSE</formula>
    </cfRule>
  </conditionalFormatting>
  <pageMargins left="0.61" right="0.16" top="0.46" bottom="0.75" header="0.3" footer="0.3"/>
  <pageSetup paperSize="9" scale="90" orientation="landscape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581C-098A-4CC2-9AC4-A4BB4419FBAB}">
  <sheetPr>
    <tabColor theme="7"/>
  </sheetPr>
  <dimension ref="A1:L23"/>
  <sheetViews>
    <sheetView zoomScale="89" zoomScaleNormal="89" workbookViewId="0">
      <selection activeCell="A2" sqref="A2:E23"/>
    </sheetView>
  </sheetViews>
  <sheetFormatPr defaultColWidth="8.85546875" defaultRowHeight="15.75" x14ac:dyDescent="0.25"/>
  <cols>
    <col min="1" max="1" width="8.28515625" style="13" customWidth="1"/>
    <col min="2" max="2" width="28.42578125" style="13" customWidth="1"/>
    <col min="3" max="4" width="7.7109375" style="14" customWidth="1"/>
    <col min="5" max="5" width="36.42578125" style="13" customWidth="1"/>
    <col min="6" max="6" width="3.42578125" style="1" customWidth="1"/>
    <col min="7" max="16384" width="8.85546875" style="1"/>
  </cols>
  <sheetData>
    <row r="1" spans="1:12" ht="10.15" customHeight="1" x14ac:dyDescent="0.25"/>
    <row r="2" spans="1:12" x14ac:dyDescent="0.25">
      <c r="A2" s="43" t="s">
        <v>27</v>
      </c>
      <c r="B2" s="49"/>
      <c r="C2" s="49"/>
      <c r="D2" s="49"/>
      <c r="E2" s="49"/>
    </row>
    <row r="3" spans="1:12" x14ac:dyDescent="0.25">
      <c r="A3" s="43" t="s">
        <v>26</v>
      </c>
      <c r="B3" s="49"/>
      <c r="C3" s="49"/>
      <c r="D3" s="49"/>
      <c r="E3" s="49"/>
    </row>
    <row r="4" spans="1:12" x14ac:dyDescent="0.25">
      <c r="A4" s="17"/>
      <c r="B4" s="24"/>
      <c r="C4" s="24"/>
      <c r="D4" s="24"/>
      <c r="E4" s="24"/>
    </row>
    <row r="5" spans="1:12" ht="19.899999999999999" customHeight="1" x14ac:dyDescent="0.25">
      <c r="A5" s="7" t="s">
        <v>20</v>
      </c>
      <c r="B5" s="7" t="s">
        <v>22</v>
      </c>
      <c r="C5" s="24"/>
      <c r="D5" s="24"/>
      <c r="E5" s="24"/>
    </row>
    <row r="6" spans="1:12" s="6" customFormat="1" ht="19.899999999999999" customHeight="1" x14ac:dyDescent="0.25">
      <c r="A6" s="7" t="s">
        <v>21</v>
      </c>
      <c r="B6" s="7" t="str">
        <f>TARBIYAH!B6</f>
        <v>: DESEMBER 2025</v>
      </c>
      <c r="C6" s="17"/>
      <c r="D6" s="17"/>
      <c r="E6" s="8"/>
    </row>
    <row r="7" spans="1:12" s="6" customFormat="1" x14ac:dyDescent="0.25">
      <c r="A7" s="7"/>
      <c r="B7" s="7"/>
      <c r="C7" s="17"/>
      <c r="D7" s="17"/>
      <c r="E7" s="8"/>
    </row>
    <row r="8" spans="1:12" ht="19.149999999999999" customHeight="1" x14ac:dyDescent="0.25">
      <c r="A8" s="44" t="s">
        <v>19</v>
      </c>
      <c r="B8" s="44" t="s">
        <v>0</v>
      </c>
      <c r="C8" s="51" t="s">
        <v>3</v>
      </c>
      <c r="D8" s="52"/>
      <c r="E8" s="44" t="s">
        <v>4</v>
      </c>
    </row>
    <row r="9" spans="1:12" ht="19.149999999999999" customHeight="1" x14ac:dyDescent="0.25">
      <c r="A9" s="50"/>
      <c r="B9" s="50"/>
      <c r="C9" s="26">
        <v>1</v>
      </c>
      <c r="D9" s="26">
        <v>2</v>
      </c>
      <c r="E9" s="50"/>
    </row>
    <row r="10" spans="1:12" ht="19.149999999999999" customHeight="1" x14ac:dyDescent="0.25">
      <c r="A10" s="12">
        <v>1</v>
      </c>
      <c r="B10" s="32" t="s">
        <v>8</v>
      </c>
      <c r="C10" s="28" t="b">
        <v>0</v>
      </c>
      <c r="D10" s="28" t="b">
        <v>1</v>
      </c>
      <c r="E10" s="27"/>
      <c r="G10" s="29" t="s">
        <v>28</v>
      </c>
      <c r="H10" s="30"/>
      <c r="I10" s="30"/>
      <c r="J10" s="30"/>
      <c r="K10" s="30"/>
      <c r="L10" s="30"/>
    </row>
    <row r="11" spans="1:12" ht="19.149999999999999" customHeight="1" x14ac:dyDescent="0.25">
      <c r="A11" s="12">
        <v>2</v>
      </c>
      <c r="B11" s="32" t="s">
        <v>31</v>
      </c>
      <c r="C11" s="28" t="b">
        <v>0</v>
      </c>
      <c r="D11" s="28" t="b">
        <v>1</v>
      </c>
      <c r="E11" s="27"/>
      <c r="G11" s="29" t="s">
        <v>29</v>
      </c>
      <c r="H11" s="30"/>
      <c r="I11" s="30"/>
      <c r="J11" s="30"/>
      <c r="K11" s="30"/>
      <c r="L11" s="30"/>
    </row>
    <row r="12" spans="1:12" ht="19.149999999999999" customHeight="1" x14ac:dyDescent="0.25">
      <c r="A12" s="12">
        <v>3</v>
      </c>
      <c r="B12" s="27" t="s">
        <v>9</v>
      </c>
      <c r="C12" s="28" t="b">
        <v>0</v>
      </c>
      <c r="D12" s="28" t="b">
        <v>0</v>
      </c>
      <c r="E12" s="27"/>
    </row>
    <row r="13" spans="1:12" ht="19.149999999999999" customHeight="1" x14ac:dyDescent="0.25">
      <c r="A13" s="12">
        <v>4</v>
      </c>
      <c r="B13" s="27" t="s">
        <v>10</v>
      </c>
      <c r="C13" s="28" t="b">
        <v>0</v>
      </c>
      <c r="D13" s="28" t="b">
        <v>0</v>
      </c>
      <c r="E13" s="27"/>
    </row>
    <row r="14" spans="1:12" ht="19.149999999999999" customHeight="1" x14ac:dyDescent="0.25">
      <c r="A14" s="12">
        <v>5</v>
      </c>
      <c r="B14" s="27" t="s">
        <v>11</v>
      </c>
      <c r="C14" s="28" t="b">
        <v>0</v>
      </c>
      <c r="D14" s="28" t="b">
        <v>0</v>
      </c>
      <c r="E14" s="27"/>
    </row>
    <row r="15" spans="1:12" s="5" customFormat="1" ht="19.149999999999999" customHeight="1" x14ac:dyDescent="0.25">
      <c r="A15" s="12">
        <v>6</v>
      </c>
      <c r="B15" s="27" t="s">
        <v>12</v>
      </c>
      <c r="C15" s="28" t="b">
        <v>0</v>
      </c>
      <c r="D15" s="28" t="b">
        <v>0</v>
      </c>
      <c r="E15" s="27"/>
    </row>
    <row r="16" spans="1:12" ht="19.149999999999999" customHeight="1" x14ac:dyDescent="0.25">
      <c r="A16" s="12">
        <v>7</v>
      </c>
      <c r="B16" s="27" t="s">
        <v>13</v>
      </c>
      <c r="C16" s="28" t="b">
        <v>0</v>
      </c>
      <c r="D16" s="28" t="b">
        <v>0</v>
      </c>
      <c r="E16" s="27"/>
    </row>
    <row r="17" spans="1:5" ht="19.149999999999999" customHeight="1" x14ac:dyDescent="0.25">
      <c r="A17" s="12">
        <v>8</v>
      </c>
      <c r="B17" s="27" t="s">
        <v>14</v>
      </c>
      <c r="C17" s="28" t="b">
        <v>0</v>
      </c>
      <c r="D17" s="28" t="b">
        <v>0</v>
      </c>
      <c r="E17" s="27"/>
    </row>
    <row r="18" spans="1:5" ht="19.149999999999999" customHeight="1" x14ac:dyDescent="0.25">
      <c r="A18" s="12">
        <v>9</v>
      </c>
      <c r="B18" s="27" t="s">
        <v>15</v>
      </c>
      <c r="C18" s="28" t="b">
        <v>0</v>
      </c>
      <c r="D18" s="28" t="b">
        <v>0</v>
      </c>
      <c r="E18" s="27"/>
    </row>
    <row r="19" spans="1:5" ht="19.149999999999999" customHeight="1" x14ac:dyDescent="0.25">
      <c r="A19" s="12">
        <v>10</v>
      </c>
      <c r="B19" s="27" t="s">
        <v>18</v>
      </c>
      <c r="C19" s="28" t="b">
        <v>0</v>
      </c>
      <c r="D19" s="28" t="b">
        <v>1</v>
      </c>
      <c r="E19" s="27"/>
    </row>
    <row r="20" spans="1:5" ht="19.149999999999999" customHeight="1" x14ac:dyDescent="0.25">
      <c r="A20" s="12">
        <v>11</v>
      </c>
      <c r="B20" s="27" t="s">
        <v>16</v>
      </c>
      <c r="C20" s="28" t="b">
        <v>0</v>
      </c>
      <c r="D20" s="28" t="b">
        <v>0</v>
      </c>
      <c r="E20" s="27"/>
    </row>
    <row r="21" spans="1:5" ht="19.149999999999999" customHeight="1" x14ac:dyDescent="0.25">
      <c r="A21" s="12">
        <v>12</v>
      </c>
      <c r="B21" s="27" t="s">
        <v>17</v>
      </c>
      <c r="C21" s="28" t="b">
        <v>0</v>
      </c>
      <c r="D21" s="28" t="b">
        <v>0</v>
      </c>
      <c r="E21" s="27"/>
    </row>
    <row r="22" spans="1:5" s="2" customFormat="1" ht="19.149999999999999" customHeight="1" x14ac:dyDescent="0.25">
      <c r="A22" s="19"/>
      <c r="B22" s="20" t="s">
        <v>5</v>
      </c>
      <c r="C22" s="20">
        <f>SUM(COUNTIF(C10:C21,TRUE))</f>
        <v>0</v>
      </c>
      <c r="D22" s="20">
        <f>SUM(COUNTIF(D10:D21,TRUE))</f>
        <v>3</v>
      </c>
      <c r="E22" s="19"/>
    </row>
    <row r="23" spans="1:5" ht="19.149999999999999" customHeight="1" x14ac:dyDescent="0.25">
      <c r="A23" s="19"/>
      <c r="B23" s="25" t="s">
        <v>25</v>
      </c>
      <c r="C23" s="34">
        <f>C22/$A$21*100</f>
        <v>0</v>
      </c>
      <c r="D23" s="34">
        <f>D22/$A$21*100</f>
        <v>25</v>
      </c>
      <c r="E23" s="19"/>
    </row>
  </sheetData>
  <mergeCells count="6">
    <mergeCell ref="A2:E2"/>
    <mergeCell ref="A3:E3"/>
    <mergeCell ref="A8:A9"/>
    <mergeCell ref="B8:B9"/>
    <mergeCell ref="C8:D8"/>
    <mergeCell ref="E8:E9"/>
  </mergeCells>
  <conditionalFormatting sqref="C10:D21">
    <cfRule type="cellIs" dxfId="9" priority="1" operator="equal">
      <formula>FALSE</formula>
    </cfRule>
  </conditionalFormatting>
  <pageMargins left="1.07" right="0.39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TARBIYAH</vt:lpstr>
      <vt:lpstr>DAKWAH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Ihromi Azmi. Rahman</dc:creator>
  <cp:lastModifiedBy>Muhammad Zaini</cp:lastModifiedBy>
  <dcterms:created xsi:type="dcterms:W3CDTF">2023-06-07T15:38:34Z</dcterms:created>
  <dcterms:modified xsi:type="dcterms:W3CDTF">2025-12-19T15:19:12Z</dcterms:modified>
</cp:coreProperties>
</file>